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  <sheet name="Questions" sheetId="2" state="visible" r:id="rId4"/>
    <sheet name="By Cohort" sheetId="3" state="visible" r:id="rId5"/>
    <sheet name="Survey Notes" sheetId="4" state="visible" r:id="rId6"/>
  </sheets>
  <definedNames>
    <definedName function="false" hidden="true" localSheetId="0" name="_xlnm._FilterDatabase" vbProcedure="false">Responses!$A$1:$Q$159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<sst xmlns="http://schemas.openxmlformats.org/spreadsheetml/2006/main" count="1151" uniqueCount="291">
  <si>
    <t xml:space="preserve">response_id</t>
  </si>
  <si>
    <t xml:space="preserve">submitted</t>
  </si>
  <si>
    <t xml:space="preserve">cohort_key</t>
  </si>
  <si>
    <t xml:space="preserve">region</t>
  </si>
  <si>
    <t xml:space="preserve">tenure_band</t>
  </si>
  <si>
    <t xml:space="preserve">q1_finding_documents</t>
  </si>
  <si>
    <t xml:space="preserve">q2_outlook_filing</t>
  </si>
  <si>
    <t xml:space="preserve">q3_mobile_access</t>
  </si>
  <si>
    <t xml:space="preserve">q4_search_quality</t>
  </si>
  <si>
    <t xml:space="preserve">q5_speed_performance</t>
  </si>
  <si>
    <t xml:space="preserve">q6_support_responsiveness</t>
  </si>
  <si>
    <t xml:space="preserve">q7_training_adequacy</t>
  </si>
  <si>
    <t xml:space="preserve">q8_overall_satisfaction</t>
  </si>
  <si>
    <t xml:space="preserve">recommend_0_10</t>
  </si>
  <si>
    <t xml:space="preserve">understands_insight_ai</t>
  </si>
  <si>
    <t xml:space="preserve">what_works_well</t>
  </si>
  <si>
    <t xml:space="preserve">what_is_lacking</t>
  </si>
  <si>
    <t xml:space="preserve">R0001</t>
  </si>
  <si>
    <t xml:space="preserve">Regulatory &amp; Trade Compliance | Lawyer - Junior</t>
  </si>
  <si>
    <t xml:space="preserve">US</t>
  </si>
  <si>
    <t xml:space="preserve">5 to 10 years</t>
  </si>
  <si>
    <t xml:space="preserve">No / unsure</t>
  </si>
  <si>
    <t xml:space="preserve">Filing email is more clicks than it should be, so I do not do it.</t>
  </si>
  <si>
    <t xml:space="preserve">R0002</t>
  </si>
  <si>
    <t xml:space="preserve">Privacy &amp; Data Protection | Lawyer - Senior</t>
  </si>
  <si>
    <t xml:space="preserve">Under 2 years</t>
  </si>
  <si>
    <t xml:space="preserve">Yes</t>
  </si>
  <si>
    <t xml:space="preserve">I was never trained on the new version. I taught myself and I am sure I am doing it wrong.</t>
  </si>
  <si>
    <t xml:space="preserve">R0003</t>
  </si>
  <si>
    <t xml:space="preserve">Employment &amp; Labor | Lawyer - Mid</t>
  </si>
  <si>
    <t xml:space="preserve">Onboarding gave me a login and a link to a video. That was it.</t>
  </si>
  <si>
    <t xml:space="preserve">R0004</t>
  </si>
  <si>
    <t xml:space="preserve">Privacy &amp; Data Protection | Lawyer - Mid</t>
  </si>
  <si>
    <t xml:space="preserve">UK/Ireland</t>
  </si>
  <si>
    <t xml:space="preserve">2 to 5 years</t>
  </si>
  <si>
    <t xml:space="preserve">Works for what I need, which is not much.</t>
  </si>
  <si>
    <t xml:space="preserve">Painfully slow from the London office in the afternoon.</t>
  </si>
  <si>
    <t xml:space="preserve">R0005</t>
  </si>
  <si>
    <t xml:space="preserve">Corporate, Securities &amp; Governance | Lawyer - Junior</t>
  </si>
  <si>
    <t xml:space="preserve">10+ years</t>
  </si>
  <si>
    <t xml:space="preserve">R0006</t>
  </si>
  <si>
    <t xml:space="preserve">Commercial &amp; Transactions | Lawyer - Mid</t>
  </si>
  <si>
    <t xml:space="preserve">The mobile app is good enough for reading on the train.</t>
  </si>
  <si>
    <t xml:space="preserve">Nobody in Employment uses it consistently, so half the file is in email anyway.</t>
  </si>
  <si>
    <t xml:space="preserve">R0007</t>
  </si>
  <si>
    <t xml:space="preserve">Legal Operations | Legal Ops - Staff</t>
  </si>
  <si>
    <t xml:space="preserve">R0008</t>
  </si>
  <si>
    <t xml:space="preserve">Litigation &amp; Disputes | Lawyer - Senior</t>
  </si>
  <si>
    <t xml:space="preserve">The March search problem lasted three days and we had a filing deadline.</t>
  </si>
  <si>
    <t xml:space="preserve">R0009</t>
  </si>
  <si>
    <t xml:space="preserve">Corporate, Securities &amp; Governance | Lawyer - Mid</t>
  </si>
  <si>
    <t xml:space="preserve">Adequate.</t>
  </si>
  <si>
    <t xml:space="preserve">R0010</t>
  </si>
  <si>
    <t xml:space="preserve">Commercial &amp; Transactions | Executive Assistant</t>
  </si>
  <si>
    <t xml:space="preserve">R0011</t>
  </si>
  <si>
    <t xml:space="preserve">Support used to respond the same day. Now it is a week.</t>
  </si>
  <si>
    <t xml:space="preserve">R0012</t>
  </si>
  <si>
    <t xml:space="preserve">Commercial &amp; Transactions | Lawyer - Junior</t>
  </si>
  <si>
    <t xml:space="preserve">Fine.</t>
  </si>
  <si>
    <t xml:space="preserve">Search is unpredictable. I usually end up asking a paralegal.</t>
  </si>
  <si>
    <t xml:space="preserve">R0013</t>
  </si>
  <si>
    <t xml:space="preserve">R0014</t>
  </si>
  <si>
    <t xml:space="preserve">Regulatory &amp; Trade Compliance | Paraprofessional</t>
  </si>
  <si>
    <t xml:space="preserve">R0015</t>
  </si>
  <si>
    <t xml:space="preserve">Real Estate, Environmental &amp; Safety | Lawyer - Senior</t>
  </si>
  <si>
    <t xml:space="preserve">I still do not understand what the AI feature is supposed to do.</t>
  </si>
  <si>
    <t xml:space="preserve">R0016</t>
  </si>
  <si>
    <t xml:space="preserve">Litigation &amp; Disputes | Paraprofessional</t>
  </si>
  <si>
    <t xml:space="preserve">R0017</t>
  </si>
  <si>
    <t xml:space="preserve">Version control has saved me more than once.</t>
  </si>
  <si>
    <t xml:space="preserve">R0018</t>
  </si>
  <si>
    <t xml:space="preserve">Sharing a workspace with outside counsel saves us hours every week.</t>
  </si>
  <si>
    <t xml:space="preserve">R0019</t>
  </si>
  <si>
    <t xml:space="preserve">Commercial &amp; Transactions | Lawyer - Senior</t>
  </si>
  <si>
    <t xml:space="preserve">R0020</t>
  </si>
  <si>
    <t xml:space="preserve">Employment &amp; Labor | Lawyer - Junior</t>
  </si>
  <si>
    <t xml:space="preserve">R0021</t>
  </si>
  <si>
    <t xml:space="preserve">Privacy &amp; Data Protection | Lawyer - Leadership</t>
  </si>
  <si>
    <t xml:space="preserve">It does the job.</t>
  </si>
  <si>
    <t xml:space="preserve">R0022</t>
  </si>
  <si>
    <t xml:space="preserve">Intellectual Property | Paraprofessional</t>
  </si>
  <si>
    <t xml:space="preserve">Search is fine once you learn the filters.</t>
  </si>
  <si>
    <t xml:space="preserve">R0023</t>
  </si>
  <si>
    <t xml:space="preserve">Commercial &amp; Transactions | Paraprofessional</t>
  </si>
  <si>
    <t xml:space="preserve">R0024</t>
  </si>
  <si>
    <t xml:space="preserve">Singapore latency makes large documents unusable in the morning.</t>
  </si>
  <si>
    <t xml:space="preserve">R0025</t>
  </si>
  <si>
    <t xml:space="preserve">Office of the General Counsel | Executive Assistant</t>
  </si>
  <si>
    <t xml:space="preserve">R0026</t>
  </si>
  <si>
    <t xml:space="preserve">Corporate, Securities &amp; Governance | Executive Assistant</t>
  </si>
  <si>
    <t xml:space="preserve">Outlook filing is the best part. One click and the email is on the matter.</t>
  </si>
  <si>
    <t xml:space="preserve">R0027</t>
  </si>
  <si>
    <t xml:space="preserve">R0028</t>
  </si>
  <si>
    <t xml:space="preserve">Commercial &amp; Transactions | Lawyer - Leadership</t>
  </si>
  <si>
    <t xml:space="preserve">I would use it more if I knew what I was doing in it.</t>
  </si>
  <si>
    <t xml:space="preserve">R0029</t>
  </si>
  <si>
    <t xml:space="preserve">R0030</t>
  </si>
  <si>
    <t xml:space="preserve">R0031</t>
  </si>
  <si>
    <t xml:space="preserve">The paralegals have this dialed in. Follow their folder conventions and everything is easy.</t>
  </si>
  <si>
    <t xml:space="preserve">R0032</t>
  </si>
  <si>
    <t xml:space="preserve">Litigation &amp; Disputes | Lawyer - Junior</t>
  </si>
  <si>
    <t xml:space="preserve">The mobile app logs me out constantly.</t>
  </si>
  <si>
    <t xml:space="preserve">R0033</t>
  </si>
  <si>
    <t xml:space="preserve">Legal Operations | Legal Ops - Leadership</t>
  </si>
  <si>
    <t xml:space="preserve">R0034</t>
  </si>
  <si>
    <t xml:space="preserve">R0035</t>
  </si>
  <si>
    <t xml:space="preserve">Corporate, Securities &amp; Governance | Paraprofessional</t>
  </si>
  <si>
    <t xml:space="preserve">Reliable, except for that outage in November.</t>
  </si>
  <si>
    <t xml:space="preserve">It went down for most of a day last November and nobody told us why.</t>
  </si>
  <si>
    <t xml:space="preserve">R0036</t>
  </si>
  <si>
    <t xml:space="preserve">R0037</t>
  </si>
  <si>
    <t xml:space="preserve">Being able to see the whole matter file in one place is why I use it all day.</t>
  </si>
  <si>
    <t xml:space="preserve">R0038</t>
  </si>
  <si>
    <t xml:space="preserve">Employment &amp; Labor | Lawyer - Senior</t>
  </si>
  <si>
    <t xml:space="preserve">R0039</t>
  </si>
  <si>
    <t xml:space="preserve">LATAM</t>
  </si>
  <si>
    <t xml:space="preserve">No strong opinion.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</si>
  <si>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</si>
  <si>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</si>
  <si>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</si>
  <si>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</si>
  <si>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</si>
  <si>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</si>
  <si>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</si>
  <si>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Intellectual Property | Lawyer - Junior</t>
  </si>
  <si>
    <t xml:space="preserve">R0047</t>
  </si>
  <si>
    <t xml:space="preserve">Litigation &amp; Disputes | Lawyer - Mid</t>
  </si>
  <si>
    <t xml:space="preserve">R0048</t>
  </si>
  <si>
    <t xml:space="preserve">Too many places to put things. I save to my desktop and upload later, if at all.</t>
  </si>
  <si>
    <t xml:space="preserve">R0049</t>
  </si>
  <si>
    <t xml:space="preserve">Privacy &amp; Data Protection | Lawyer - Junior</t>
  </si>
  <si>
    <t xml:space="preserve">R0050</t>
  </si>
  <si>
    <t xml:space="preserve">R0051</t>
  </si>
  <si>
    <t xml:space="preserve">R0052</t>
  </si>
  <si>
    <t xml:space="preserve">R0053</t>
  </si>
  <si>
    <t xml:space="preserve">Regulatory &amp; Trade Compliance | Lawyer - Senior</t>
  </si>
  <si>
    <t xml:space="preserve">R0054</t>
  </si>
  <si>
    <t xml:space="preserve">Commercial &amp; Transactions | Paraprofessional - Lead</t>
  </si>
  <si>
    <t xml:space="preserve">R0055</t>
  </si>
  <si>
    <t xml:space="preserve">R0056</t>
  </si>
  <si>
    <t xml:space="preserve">R0057</t>
  </si>
  <si>
    <t xml:space="preserve">R0058</t>
  </si>
  <si>
    <t xml:space="preserve">Intellectual Property | Lawyer - Mid</t>
  </si>
  <si>
    <t xml:space="preserve">R0059</t>
  </si>
  <si>
    <t xml:space="preserve">Regulatory &amp; Trade Compliance | Lawyer - Mid</t>
  </si>
  <si>
    <t xml:space="preserve">R0060</t>
  </si>
  <si>
    <t xml:space="preserve">R0061</t>
  </si>
  <si>
    <t xml:space="preserve">Legal Operations | Executive Assistant</t>
  </si>
  <si>
    <t xml:space="preserve">R0062</t>
  </si>
  <si>
    <t xml:space="preserve">R0063</t>
  </si>
  <si>
    <t xml:space="preserve">R0064</t>
  </si>
  <si>
    <t xml:space="preserve">R0065</t>
  </si>
  <si>
    <t xml:space="preserve">Real Estate, Environmental &amp; Safety | Lawyer - Junior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</si>
  <si>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</si>
  <si>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</si>
  <si>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</si>
  <si>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</si>
  <si>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</si>
  <si>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</si>
  <si>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</si>
  <si>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</si>
  <si>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</si>
  <si>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</si>
  <si>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</si>
  <si>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Employment &amp; Labor | Executive Assistant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</si>
  <si>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</si>
  <si>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</si>
  <si>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</si>
  <si>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</si>
  <si>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</si>
  <si>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</si>
  <si>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</si>
  <si>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Compared with the shared drives we had before, this is night and day.</t>
  </si>
  <si>
    <t xml:space="preserve">R0084</t>
  </si>
  <si>
    <t xml:space="preserve">R0085</t>
  </si>
  <si>
    <t xml:space="preserve">R0086</t>
  </si>
  <si>
    <t xml:space="preserve">R0087</t>
  </si>
  <si>
    <t xml:space="preserve">Litigation &amp; Disputes | Executive Assistant</t>
  </si>
  <si>
    <t xml:space="preserve">R0088</t>
  </si>
  <si>
    <t xml:space="preserve">APAC</t>
  </si>
  <si>
    <t xml:space="preserve">R0089</t>
  </si>
  <si>
    <t xml:space="preserve">R0090</t>
  </si>
  <si>
    <t xml:space="preserve">Office of the General Counsel | Lawyer - Leadership</t>
  </si>
  <si>
    <t xml:space="preserve">R0091</t>
  </si>
  <si>
    <t xml:space="preserve">R0092</t>
  </si>
  <si>
    <t xml:space="preserve">Employment &amp; Labor | Paraprofessional</t>
  </si>
  <si>
    <t xml:space="preserve">R0093</t>
  </si>
  <si>
    <t xml:space="preserve">R0094</t>
  </si>
  <si>
    <t xml:space="preserve">Real Estate, Environmental &amp; Safety | Paraprofessional</t>
  </si>
  <si>
    <t xml:space="preserve">R0095</t>
  </si>
  <si>
    <t xml:space="preserve">R0096</t>
  </si>
  <si>
    <t xml:space="preserve">R0097</t>
  </si>
  <si>
    <t xml:space="preserve">It just works. I do not think about it.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</si>
  <si>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</si>
  <si>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</si>
  <si>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</si>
  <si>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</si>
  <si>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</si>
  <si>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</si>
  <si>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Regulatory &amp; Trade Compliance | Executive Assistant</t>
  </si>
  <si>
    <t xml:space="preserve">R0104</t>
  </si>
  <si>
    <t xml:space="preserve">R0105</t>
  </si>
  <si>
    <t xml:space="preserve">Corporate, Securities &amp; Governance | Lawyer - Senior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</si>
  <si>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</si>
  <si>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</si>
  <si>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</si>
  <si>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</si>
  <si>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</si>
  <si>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</si>
  <si>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Intellectual Property | Executive Assistant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</si>
  <si>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</si>
  <si>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</si>
  <si>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</si>
  <si>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</si>
  <si>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</si>
  <si>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</si>
  <si>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</si>
  <si>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</si>
  <si>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Litigation &amp; Disputes | Paraprofessional - Lead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</si>
  <si>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</si>
  <si>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</si>
  <si>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</si>
  <si>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</si>
  <si>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</si>
  <si>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</si>
  <si>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</si>
  <si>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</si>
  <si>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</si>
  <si>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</si>
  <si>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</si>
  <si>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</si>
  <si>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</si>
  <si>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</si>
  <si>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</si>
  <si>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</si>
  <si>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</si>
  <si>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</si>
  <si>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</si>
  <si>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</si>
  <si>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</si>
  <si>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</si>
  <si>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</si>
  <si>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</si>
  <si>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</si>
  <si>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Privacy &amp; Data Protection | Executive Assistant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</si>
  <si>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</si>
  <si>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</si>
  <si>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</si>
  <si>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</si>
  <si>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</si>
  <si>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</si>
  <si>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</si>
  <si>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</si>
  <si>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</si>
  <si>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</si>
  <si>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</si>
  <si>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</si>
  <si>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</si>
  <si>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Intellectual Property | Lawyer - Senior</t>
  </si>
  <si>
    <t xml:space="preserve">R0158</t>
  </si>
  <si>
    <t xml:space="preserve">Column</t>
  </si>
  <si>
    <t xml:space="preserve">Question text</t>
  </si>
  <si>
    <t xml:space="preserve">Scale</t>
  </si>
  <si>
    <t xml:space="preserve">I can find the documents I need quickly.</t>
  </si>
  <si>
    <t xml:space="preserve">1 = Strongly disagree, 5 = Strongly agree</t>
  </si>
  <si>
    <t xml:space="preserve">Filing email from Outlook works well for me.</t>
  </si>
  <si>
    <t xml:space="preserve">I can get to what I need from my phone or tablet.</t>
  </si>
  <si>
    <t xml:space="preserve">Search returns the right results.</t>
  </si>
  <si>
    <t xml:space="preserve">The system is fast and responsive.</t>
  </si>
  <si>
    <t xml:space="preserve">When I have a problem, I get help quickly.</t>
  </si>
  <si>
    <t xml:space="preserve">I received the training I needed to use the system well.</t>
  </si>
  <si>
    <t xml:space="preserve">Overall, I am satisfied with our document management system.</t>
  </si>
  <si>
    <t xml:space="preserve">How likely are you to recommend our document management system to a colleague joining the department?</t>
  </si>
  <si>
    <t xml:space="preserve">0 to 10</t>
  </si>
  <si>
    <t xml:space="preserve">Do you understand what the Insight AI features do and when to use them?</t>
  </si>
  <si>
    <t xml:space="preserve">Yes / No or unsure</t>
  </si>
  <si>
    <t xml:space="preserve">What works well?</t>
  </si>
  <si>
    <t xml:space="preserve">Free text</t>
  </si>
  <si>
    <t xml:space="preserve">What is lacking or frustrating?</t>
  </si>
  <si>
    <t xml:space="preserve">responses</t>
  </si>
  <si>
    <t xml:space="preserve">recommend_avg</t>
  </si>
  <si>
    <t xml:space="preserve">Item</t>
  </si>
  <si>
    <t xml:space="preserve">Note</t>
  </si>
  <si>
    <t xml:space="preserve">Instrument</t>
  </si>
  <si>
    <t xml:space="preserve">Legal Technology Pulse Survey, July 2026. Fielded 6 to 24 July 2026 by Legal Operations with the Training &amp; Enablement Lead. 230 invited, 158 responded (69%).</t>
  </si>
  <si>
    <t xml:space="preserve">Anonymity</t>
  </si>
  <si>
    <t xml:space="preserve">Responses are anonymous. Each response carries cohort_key (practice group and level band), region, and tenure band so results can be compared with usage and training data at cohort level. No individual identifiers were collected.</t>
  </si>
  <si>
    <t xml:space="preserve">Cohort key</t>
  </si>
  <si>
    <t xml:space="preserve">Matches the roster's practice_group | level_band and therefore rolls up to the same cohorts as the usage telemetry and LMS export.</t>
  </si>
  <si>
    <t xml:space="preserve">Caveat</t>
  </si>
  <si>
    <t xml:space="preserve">Cohorts with fewer than 5 responses should be read with care.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</si>
</sst>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13" min="6" style="0" width="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3" t="n">
        <v>46210</v>
      </c>
      <c r="C2" s="2" t="s">
        <v>18</v>
      </c>
      <c r="D2" s="2" t="s">
        <v>19</v>
      </c>
      <c r="E2" s="2" t="s">
        <v>20</v>
      </c>
      <c r="F2" s="2" t="n">
        <v>3</v>
      </c>
      <c r="G2" s="2" t="n">
        <v>3</v>
      </c>
      <c r="H2" s="2" t="n">
        <v>2</v>
      </c>
      <c r="I2" s="2" t="n">
        <v>3</v>
      </c>
      <c r="J2" s="2" t="n">
        <v>4</v>
      </c>
      <c r="K2" s="2" t="n">
        <v>2</v>
      </c>
      <c r="L2" s="2" t="n">
        <v>2</v>
      </c>
      <c r="M2" s="2" t="n">
        <v>4</v>
      </c>
      <c r="N2" s="2" t="n">
        <v>6</v>
      </c>
      <c r="O2" s="2" t="s">
        <v>21</v>
      </c>
      <c r="P2" s="2"/>
      <c r="Q2" s="2" t="s">
        <v>22</v>
      </c>
    </row>
    <row r="3" customFormat="false" ht="15" hidden="false" customHeight="false" outlineLevel="0" collapsed="false">
      <c r="A3" s="2" t="s">
        <v>23</v>
      </c>
      <c r="B3" s="3" t="n">
        <v>46222</v>
      </c>
      <c r="C3" s="2" t="s">
        <v>24</v>
      </c>
      <c r="D3" s="2" t="s">
        <v>19</v>
      </c>
      <c r="E3" s="2" t="s">
        <v>25</v>
      </c>
      <c r="F3" s="2" t="n">
        <v>3</v>
      </c>
      <c r="G3" s="2" t="n">
        <v>2</v>
      </c>
      <c r="H3" s="2" t="n">
        <v>2</v>
      </c>
      <c r="I3" s="2" t="n">
        <v>3</v>
      </c>
      <c r="J3" s="2" t="n">
        <v>2</v>
      </c>
      <c r="K3" s="2" t="n">
        <v>1</v>
      </c>
      <c r="L3" s="2" t="n">
        <v>1</v>
      </c>
      <c r="M3" s="2" t="n">
        <v>3</v>
      </c>
      <c r="N3" s="2" t="n">
        <v>4</v>
      </c>
      <c r="O3" s="2" t="s">
        <v>26</v>
      </c>
      <c r="P3" s="2"/>
      <c r="Q3" s="2" t="s">
        <v>27</v>
      </c>
    </row>
    <row r="4" customFormat="false" ht="15" hidden="false" customHeight="false" outlineLevel="0" collapsed="false">
      <c r="A4" s="2" t="s">
        <v>28</v>
      </c>
      <c r="B4" s="3" t="n">
        <v>46213</v>
      </c>
      <c r="C4" s="2" t="s">
        <v>29</v>
      </c>
      <c r="D4" s="2" t="s">
        <v>19</v>
      </c>
      <c r="E4" s="2" t="s">
        <v>25</v>
      </c>
      <c r="F4" s="2" t="n">
        <v>1</v>
      </c>
      <c r="G4" s="2" t="n">
        <v>1</v>
      </c>
      <c r="H4" s="2" t="n">
        <v>2</v>
      </c>
      <c r="I4" s="2" t="n">
        <v>1</v>
      </c>
      <c r="J4" s="2" t="n">
        <v>2</v>
      </c>
      <c r="K4" s="2" t="n">
        <v>2</v>
      </c>
      <c r="L4" s="2" t="n">
        <v>1</v>
      </c>
      <c r="M4" s="2" t="n">
        <v>2</v>
      </c>
      <c r="N4" s="2" t="n">
        <v>1</v>
      </c>
      <c r="O4" s="2" t="s">
        <v>21</v>
      </c>
      <c r="P4" s="2"/>
      <c r="Q4" s="2" t="s">
        <v>30</v>
      </c>
    </row>
    <row r="5" customFormat="false" ht="15" hidden="false" customHeight="false" outlineLevel="0" collapsed="false">
      <c r="A5" s="2" t="s">
        <v>31</v>
      </c>
      <c r="B5" s="3" t="n">
        <v>46225</v>
      </c>
      <c r="C5" s="2" t="s">
        <v>32</v>
      </c>
      <c r="D5" s="2" t="s">
        <v>33</v>
      </c>
      <c r="E5" s="2" t="s">
        <v>34</v>
      </c>
      <c r="F5" s="2" t="n">
        <v>3</v>
      </c>
      <c r="G5" s="2" t="n">
        <v>3</v>
      </c>
      <c r="H5" s="2" t="n">
        <v>3</v>
      </c>
      <c r="I5" s="2" t="n">
        <v>4</v>
      </c>
      <c r="J5" s="2" t="n">
        <v>2</v>
      </c>
      <c r="K5" s="2" t="n">
        <v>3</v>
      </c>
      <c r="L5" s="2" t="n">
        <v>3</v>
      </c>
      <c r="M5" s="2" t="n">
        <v>3</v>
      </c>
      <c r="N5" s="2" t="n">
        <v>4</v>
      </c>
      <c r="O5" s="2" t="s">
        <v>26</v>
      </c>
      <c r="P5" s="2" t="s">
        <v>35</v>
      </c>
      <c r="Q5" s="2" t="s">
        <v>36</v>
      </c>
    </row>
    <row r="6" customFormat="false" ht="15" hidden="false" customHeight="false" outlineLevel="0" collapsed="false">
      <c r="A6" s="2" t="s">
        <v>37</v>
      </c>
      <c r="B6" s="3" t="n">
        <v>46215</v>
      </c>
      <c r="C6" s="2" t="s">
        <v>38</v>
      </c>
      <c r="D6" s="2" t="s">
        <v>19</v>
      </c>
      <c r="E6" s="2" t="s">
        <v>39</v>
      </c>
      <c r="F6" s="2" t="n">
        <v>2</v>
      </c>
      <c r="G6" s="2" t="n">
        <v>3</v>
      </c>
      <c r="H6" s="2" t="n">
        <v>2</v>
      </c>
      <c r="I6" s="2" t="n">
        <v>1</v>
      </c>
      <c r="J6" s="2" t="n">
        <v>3</v>
      </c>
      <c r="K6" s="2" t="n">
        <v>1</v>
      </c>
      <c r="L6" s="2" t="n">
        <v>1</v>
      </c>
      <c r="M6" s="2" t="n">
        <v>1</v>
      </c>
      <c r="N6" s="2" t="n">
        <v>3</v>
      </c>
      <c r="O6" s="2" t="s">
        <v>26</v>
      </c>
      <c r="P6" s="2"/>
      <c r="Q6" s="2" t="s">
        <v>27</v>
      </c>
    </row>
    <row r="7" customFormat="false" ht="15" hidden="false" customHeight="false" outlineLevel="0" collapsed="false">
      <c r="A7" s="2" t="s">
        <v>40</v>
      </c>
      <c r="B7" s="3" t="n">
        <v>46217</v>
      </c>
      <c r="C7" s="2" t="s">
        <v>41</v>
      </c>
      <c r="D7" s="2" t="s">
        <v>19</v>
      </c>
      <c r="E7" s="2" t="s">
        <v>34</v>
      </c>
      <c r="F7" s="2" t="n">
        <v>4</v>
      </c>
      <c r="G7" s="2" t="n">
        <v>1</v>
      </c>
      <c r="H7" s="2" t="n">
        <v>2</v>
      </c>
      <c r="I7" s="2" t="n">
        <v>2</v>
      </c>
      <c r="J7" s="2" t="n">
        <v>3</v>
      </c>
      <c r="K7" s="2" t="n">
        <v>3</v>
      </c>
      <c r="L7" s="2" t="n">
        <v>2</v>
      </c>
      <c r="M7" s="2" t="n">
        <v>2</v>
      </c>
      <c r="N7" s="2" t="n">
        <v>5</v>
      </c>
      <c r="O7" s="2" t="s">
        <v>26</v>
      </c>
      <c r="P7" s="2" t="s">
        <v>42</v>
      </c>
      <c r="Q7" s="2" t="s">
        <v>43</v>
      </c>
    </row>
    <row r="8" customFormat="false" ht="15" hidden="false" customHeight="false" outlineLevel="0" collapsed="false">
      <c r="A8" s="2" t="s">
        <v>44</v>
      </c>
      <c r="B8" s="3" t="n">
        <v>46225</v>
      </c>
      <c r="C8" s="2" t="s">
        <v>45</v>
      </c>
      <c r="D8" s="2" t="s">
        <v>19</v>
      </c>
      <c r="E8" s="2" t="s">
        <v>39</v>
      </c>
      <c r="F8" s="2" t="n">
        <v>3</v>
      </c>
      <c r="G8" s="2" t="n">
        <v>2</v>
      </c>
      <c r="H8" s="2" t="n">
        <v>2</v>
      </c>
      <c r="I8" s="2" t="n">
        <v>3</v>
      </c>
      <c r="J8" s="2" t="n">
        <v>3</v>
      </c>
      <c r="K8" s="2" t="n">
        <v>3</v>
      </c>
      <c r="L8" s="2" t="n">
        <v>3</v>
      </c>
      <c r="M8" s="2" t="n">
        <v>3</v>
      </c>
      <c r="N8" s="2" t="n">
        <v>6</v>
      </c>
      <c r="O8" s="2" t="s">
        <v>21</v>
      </c>
      <c r="P8" s="2"/>
      <c r="Q8" s="2" t="s">
        <v>27</v>
      </c>
    </row>
    <row r="9" customFormat="false" ht="15" hidden="false" customHeight="false" outlineLevel="0" collapsed="false">
      <c r="A9" s="2" t="s">
        <v>46</v>
      </c>
      <c r="B9" s="3" t="n">
        <v>46209</v>
      </c>
      <c r="C9" s="2" t="s">
        <v>47</v>
      </c>
      <c r="D9" s="2" t="s">
        <v>19</v>
      </c>
      <c r="E9" s="2" t="s">
        <v>34</v>
      </c>
      <c r="F9" s="2" t="n">
        <v>4</v>
      </c>
      <c r="G9" s="2" t="n">
        <v>3</v>
      </c>
      <c r="H9" s="2" t="n">
        <v>3</v>
      </c>
      <c r="I9" s="2" t="n">
        <v>3</v>
      </c>
      <c r="J9" s="2" t="n">
        <v>5</v>
      </c>
      <c r="K9" s="2" t="n">
        <v>4</v>
      </c>
      <c r="L9" s="2" t="n">
        <v>3</v>
      </c>
      <c r="M9" s="2" t="n">
        <v>3</v>
      </c>
      <c r="N9" s="2" t="n">
        <v>9</v>
      </c>
      <c r="O9" s="2" t="s">
        <v>26</v>
      </c>
      <c r="P9" s="2" t="s">
        <v>35</v>
      </c>
      <c r="Q9" s="2" t="s">
        <v>48</v>
      </c>
    </row>
    <row r="10" customFormat="false" ht="15" hidden="false" customHeight="false" outlineLevel="0" collapsed="false">
      <c r="A10" s="2" t="s">
        <v>49</v>
      </c>
      <c r="B10" s="3" t="n">
        <v>46216</v>
      </c>
      <c r="C10" s="2" t="s">
        <v>50</v>
      </c>
      <c r="D10" s="2" t="s">
        <v>19</v>
      </c>
      <c r="E10" s="2" t="s">
        <v>39</v>
      </c>
      <c r="F10" s="2" t="n">
        <v>4</v>
      </c>
      <c r="G10" s="2" t="n">
        <v>3</v>
      </c>
      <c r="H10" s="2" t="n">
        <v>4</v>
      </c>
      <c r="I10" s="2" t="n">
        <v>2</v>
      </c>
      <c r="J10" s="2" t="n">
        <v>3</v>
      </c>
      <c r="K10" s="2" t="n">
        <v>4</v>
      </c>
      <c r="L10" s="2" t="n">
        <v>2</v>
      </c>
      <c r="M10" s="2" t="n">
        <v>2</v>
      </c>
      <c r="N10" s="2" t="n">
        <v>6</v>
      </c>
      <c r="O10" s="2" t="s">
        <v>21</v>
      </c>
      <c r="P10" s="2" t="s">
        <v>51</v>
      </c>
      <c r="Q10" s="2" t="s">
        <v>27</v>
      </c>
    </row>
    <row r="11" customFormat="false" ht="15" hidden="false" customHeight="false" outlineLevel="0" collapsed="false">
      <c r="A11" s="2" t="s">
        <v>52</v>
      </c>
      <c r="B11" s="3" t="n">
        <v>46225</v>
      </c>
      <c r="C11" s="2" t="s">
        <v>53</v>
      </c>
      <c r="D11" s="2" t="s">
        <v>19</v>
      </c>
      <c r="E11" s="2" t="s">
        <v>25</v>
      </c>
      <c r="F11" s="2" t="n">
        <v>4</v>
      </c>
      <c r="G11" s="2" t="n">
        <v>5</v>
      </c>
      <c r="H11" s="2" t="n">
        <v>4</v>
      </c>
      <c r="I11" s="2" t="n">
        <v>3</v>
      </c>
      <c r="J11" s="2" t="n">
        <v>4</v>
      </c>
      <c r="K11" s="2" t="n">
        <v>3</v>
      </c>
      <c r="L11" s="2" t="n">
        <v>2</v>
      </c>
      <c r="M11" s="2" t="n">
        <v>5</v>
      </c>
      <c r="N11" s="2" t="n">
        <v>6</v>
      </c>
      <c r="O11" s="2" t="s">
        <v>21</v>
      </c>
      <c r="P11" s="2" t="s">
        <v>42</v>
      </c>
      <c r="Q11" s="2"/>
    </row>
    <row r="12" customFormat="false" ht="15" hidden="false" customHeight="false" outlineLevel="0" collapsed="false">
      <c r="A12" s="2" t="s">
        <v>54</v>
      </c>
      <c r="B12" s="3" t="n">
        <v>46220</v>
      </c>
      <c r="C12" s="2" t="s">
        <v>41</v>
      </c>
      <c r="D12" s="2" t="s">
        <v>19</v>
      </c>
      <c r="E12" s="2" t="s">
        <v>25</v>
      </c>
      <c r="F12" s="2" t="n">
        <v>2</v>
      </c>
      <c r="G12" s="2" t="n">
        <v>4</v>
      </c>
      <c r="H12" s="2" t="n">
        <v>3</v>
      </c>
      <c r="I12" s="2" t="n">
        <v>3</v>
      </c>
      <c r="J12" s="2" t="n">
        <v>3</v>
      </c>
      <c r="K12" s="2" t="n">
        <v>2</v>
      </c>
      <c r="L12" s="2" t="n">
        <v>2</v>
      </c>
      <c r="M12" s="2" t="n">
        <v>3</v>
      </c>
      <c r="N12" s="2" t="n">
        <v>6</v>
      </c>
      <c r="O12" s="2" t="s">
        <v>26</v>
      </c>
      <c r="P12" s="2"/>
      <c r="Q12" s="2" t="s">
        <v>55</v>
      </c>
    </row>
    <row r="13" customFormat="false" ht="15" hidden="false" customHeight="false" outlineLevel="0" collapsed="false">
      <c r="A13" s="2" t="s">
        <v>56</v>
      </c>
      <c r="B13" s="3" t="n">
        <v>46214</v>
      </c>
      <c r="C13" s="2" t="s">
        <v>57</v>
      </c>
      <c r="D13" s="2" t="s">
        <v>19</v>
      </c>
      <c r="E13" s="2" t="s">
        <v>20</v>
      </c>
      <c r="F13" s="2" t="n">
        <v>5</v>
      </c>
      <c r="G13" s="2" t="n">
        <v>3</v>
      </c>
      <c r="H13" s="2" t="n">
        <v>4</v>
      </c>
      <c r="I13" s="2" t="n">
        <v>3</v>
      </c>
      <c r="J13" s="2" t="n">
        <v>3</v>
      </c>
      <c r="K13" s="2" t="n">
        <v>2</v>
      </c>
      <c r="L13" s="2" t="n">
        <v>3</v>
      </c>
      <c r="M13" s="2" t="n">
        <v>4</v>
      </c>
      <c r="N13" s="2" t="n">
        <v>6</v>
      </c>
      <c r="O13" s="2" t="s">
        <v>26</v>
      </c>
      <c r="P13" s="2" t="s">
        <v>58</v>
      </c>
      <c r="Q13" s="2" t="s">
        <v>59</v>
      </c>
    </row>
    <row r="14" customFormat="false" ht="15" hidden="false" customHeight="false" outlineLevel="0" collapsed="false">
      <c r="A14" s="2" t="s">
        <v>60</v>
      </c>
      <c r="B14" s="3" t="n">
        <v>46213</v>
      </c>
      <c r="C14" s="2" t="s">
        <v>41</v>
      </c>
      <c r="D14" s="2" t="s">
        <v>19</v>
      </c>
      <c r="E14" s="2" t="s">
        <v>25</v>
      </c>
      <c r="F14" s="2" t="n">
        <v>3</v>
      </c>
      <c r="G14" s="2" t="n">
        <v>4</v>
      </c>
      <c r="H14" s="2" t="n">
        <v>2</v>
      </c>
      <c r="I14" s="2" t="n">
        <v>2</v>
      </c>
      <c r="J14" s="2" t="n">
        <v>2</v>
      </c>
      <c r="K14" s="2" t="n">
        <v>1</v>
      </c>
      <c r="L14" s="2" t="n">
        <v>1</v>
      </c>
      <c r="M14" s="2" t="n">
        <v>2</v>
      </c>
      <c r="N14" s="2" t="n">
        <v>4</v>
      </c>
      <c r="O14" s="2" t="s">
        <v>21</v>
      </c>
      <c r="P14" s="2"/>
      <c r="Q14" s="2" t="s">
        <v>27</v>
      </c>
    </row>
    <row r="15" customFormat="false" ht="15" hidden="false" customHeight="false" outlineLevel="0" collapsed="false">
      <c r="A15" s="2" t="s">
        <v>61</v>
      </c>
      <c r="B15" s="3" t="n">
        <v>46214</v>
      </c>
      <c r="C15" s="2" t="s">
        <v>62</v>
      </c>
      <c r="D15" s="2" t="s">
        <v>19</v>
      </c>
      <c r="E15" s="2" t="s">
        <v>25</v>
      </c>
      <c r="F15" s="2" t="n">
        <v>4</v>
      </c>
      <c r="G15" s="2" t="n">
        <v>3</v>
      </c>
      <c r="H15" s="2" t="n">
        <v>3</v>
      </c>
      <c r="I15" s="2" t="n">
        <v>1</v>
      </c>
      <c r="J15" s="2" t="n">
        <v>3</v>
      </c>
      <c r="K15" s="2" t="n">
        <v>4</v>
      </c>
      <c r="L15" s="2" t="n">
        <v>2</v>
      </c>
      <c r="M15" s="2" t="n">
        <v>4</v>
      </c>
      <c r="N15" s="2" t="n">
        <v>4</v>
      </c>
      <c r="O15" s="2" t="s">
        <v>26</v>
      </c>
      <c r="P15" s="2" t="s">
        <v>35</v>
      </c>
      <c r="Q15" s="2" t="s">
        <v>30</v>
      </c>
    </row>
    <row r="16" customFormat="false" ht="15" hidden="false" customHeight="false" outlineLevel="0" collapsed="false">
      <c r="A16" s="2" t="s">
        <v>63</v>
      </c>
      <c r="B16" s="3" t="n">
        <v>46225</v>
      </c>
      <c r="C16" s="2" t="s">
        <v>64</v>
      </c>
      <c r="D16" s="2" t="s">
        <v>19</v>
      </c>
      <c r="E16" s="2" t="s">
        <v>34</v>
      </c>
      <c r="F16" s="2" t="n">
        <v>2</v>
      </c>
      <c r="G16" s="2" t="n">
        <v>2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0</v>
      </c>
      <c r="O16" s="2" t="s">
        <v>26</v>
      </c>
      <c r="P16" s="2"/>
      <c r="Q16" s="2" t="s">
        <v>65</v>
      </c>
    </row>
    <row r="17" customFormat="false" ht="15" hidden="false" customHeight="false" outlineLevel="0" collapsed="false">
      <c r="A17" s="2" t="s">
        <v>66</v>
      </c>
      <c r="B17" s="3" t="n">
        <v>46215</v>
      </c>
      <c r="C17" s="2" t="s">
        <v>67</v>
      </c>
      <c r="D17" s="2" t="s">
        <v>19</v>
      </c>
      <c r="E17" s="2" t="s">
        <v>25</v>
      </c>
      <c r="F17" s="2" t="n">
        <v>4</v>
      </c>
      <c r="G17" s="2" t="n">
        <v>4</v>
      </c>
      <c r="H17" s="2" t="n">
        <v>3</v>
      </c>
      <c r="I17" s="2" t="n">
        <v>4</v>
      </c>
      <c r="J17" s="2" t="n">
        <v>4</v>
      </c>
      <c r="K17" s="2" t="n">
        <v>2</v>
      </c>
      <c r="L17" s="2" t="n">
        <v>2</v>
      </c>
      <c r="M17" s="2" t="n">
        <v>4</v>
      </c>
      <c r="N17" s="2" t="n">
        <v>7</v>
      </c>
      <c r="O17" s="2" t="s">
        <v>21</v>
      </c>
      <c r="P17" s="2" t="s">
        <v>58</v>
      </c>
      <c r="Q17" s="2" t="s">
        <v>30</v>
      </c>
    </row>
    <row r="18" customFormat="false" ht="15" hidden="false" customHeight="false" outlineLevel="0" collapsed="false">
      <c r="A18" s="2" t="s">
        <v>68</v>
      </c>
      <c r="B18" s="3" t="n">
        <v>46211</v>
      </c>
      <c r="C18" s="2" t="s">
        <v>67</v>
      </c>
      <c r="D18" s="2" t="s">
        <v>19</v>
      </c>
      <c r="E18" s="2" t="s">
        <v>20</v>
      </c>
      <c r="F18" s="2" t="n">
        <v>4</v>
      </c>
      <c r="G18" s="2" t="n">
        <v>3</v>
      </c>
      <c r="H18" s="2" t="n">
        <v>3</v>
      </c>
      <c r="I18" s="2" t="n">
        <v>3</v>
      </c>
      <c r="J18" s="2" t="n">
        <v>4</v>
      </c>
      <c r="K18" s="2" t="n">
        <v>5</v>
      </c>
      <c r="L18" s="2" t="n">
        <v>3</v>
      </c>
      <c r="M18" s="2" t="n">
        <v>5</v>
      </c>
      <c r="N18" s="2" t="n">
        <v>8</v>
      </c>
      <c r="O18" s="2" t="s">
        <v>26</v>
      </c>
      <c r="P18" s="2" t="s">
        <v>69</v>
      </c>
      <c r="Q18" s="2"/>
    </row>
    <row r="19" customFormat="false" ht="15" hidden="false" customHeight="false" outlineLevel="0" collapsed="false">
      <c r="A19" s="2" t="s">
        <v>70</v>
      </c>
      <c r="B19" s="3" t="n">
        <v>46213</v>
      </c>
      <c r="C19" s="2" t="s">
        <v>47</v>
      </c>
      <c r="D19" s="2" t="s">
        <v>19</v>
      </c>
      <c r="E19" s="2" t="s">
        <v>34</v>
      </c>
      <c r="F19" s="2" t="n">
        <v>4</v>
      </c>
      <c r="G19" s="2" t="n">
        <v>5</v>
      </c>
      <c r="H19" s="2" t="n">
        <v>5</v>
      </c>
      <c r="I19" s="2" t="n">
        <v>3</v>
      </c>
      <c r="J19" s="2" t="n">
        <v>4</v>
      </c>
      <c r="K19" s="2" t="n">
        <v>3</v>
      </c>
      <c r="L19" s="2" t="n">
        <v>4</v>
      </c>
      <c r="M19" s="2" t="n">
        <v>4</v>
      </c>
      <c r="N19" s="2" t="n">
        <v>8</v>
      </c>
      <c r="O19" s="2" t="s">
        <v>26</v>
      </c>
      <c r="P19" s="2" t="s">
        <v>71</v>
      </c>
      <c r="Q19" s="2"/>
    </row>
    <row r="20" customFormat="false" ht="15" hidden="false" customHeight="false" outlineLevel="0" collapsed="false">
      <c r="A20" s="2" t="s">
        <v>72</v>
      </c>
      <c r="B20" s="3" t="n">
        <v>46224</v>
      </c>
      <c r="C20" s="2" t="s">
        <v>73</v>
      </c>
      <c r="D20" s="2" t="s">
        <v>19</v>
      </c>
      <c r="E20" s="2" t="s">
        <v>39</v>
      </c>
      <c r="F20" s="2" t="n">
        <v>3</v>
      </c>
      <c r="G20" s="2" t="n">
        <v>4</v>
      </c>
      <c r="H20" s="2" t="n">
        <v>4</v>
      </c>
      <c r="I20" s="2" t="n">
        <v>3</v>
      </c>
      <c r="J20" s="2" t="n">
        <v>3</v>
      </c>
      <c r="K20" s="2" t="n">
        <v>4</v>
      </c>
      <c r="L20" s="2" t="n">
        <v>2</v>
      </c>
      <c r="M20" s="2" t="n">
        <v>3</v>
      </c>
      <c r="N20" s="2" t="n">
        <v>6</v>
      </c>
      <c r="O20" s="2" t="s">
        <v>21</v>
      </c>
      <c r="P20" s="2" t="s">
        <v>58</v>
      </c>
      <c r="Q20" s="2" t="s">
        <v>55</v>
      </c>
    </row>
    <row r="21" customFormat="false" ht="15" hidden="false" customHeight="false" outlineLevel="0" collapsed="false">
      <c r="A21" s="2" t="s">
        <v>74</v>
      </c>
      <c r="B21" s="3" t="n">
        <v>46221</v>
      </c>
      <c r="C21" s="2" t="s">
        <v>75</v>
      </c>
      <c r="D21" s="2" t="s">
        <v>19</v>
      </c>
      <c r="E21" s="2" t="s">
        <v>39</v>
      </c>
      <c r="F21" s="2" t="n">
        <v>3</v>
      </c>
      <c r="G21" s="2" t="n">
        <v>2</v>
      </c>
      <c r="H21" s="2" t="n">
        <v>2</v>
      </c>
      <c r="I21" s="2" t="n">
        <v>2</v>
      </c>
      <c r="J21" s="2" t="n">
        <v>1</v>
      </c>
      <c r="K21" s="2" t="n">
        <v>1</v>
      </c>
      <c r="L21" s="2" t="n">
        <v>2</v>
      </c>
      <c r="M21" s="2" t="n">
        <v>2</v>
      </c>
      <c r="N21" s="2" t="n">
        <v>1</v>
      </c>
      <c r="O21" s="2" t="s">
        <v>21</v>
      </c>
      <c r="P21" s="2"/>
      <c r="Q21" s="2" t="s">
        <v>27</v>
      </c>
    </row>
    <row r="22" customFormat="false" ht="15" hidden="false" customHeight="false" outlineLevel="0" collapsed="false">
      <c r="A22" s="2" t="s">
        <v>76</v>
      </c>
      <c r="B22" s="3" t="n">
        <v>46220</v>
      </c>
      <c r="C22" s="2" t="s">
        <v>77</v>
      </c>
      <c r="D22" s="2" t="s">
        <v>33</v>
      </c>
      <c r="E22" s="2" t="s">
        <v>39</v>
      </c>
      <c r="F22" s="2" t="n">
        <v>3</v>
      </c>
      <c r="G22" s="2" t="n">
        <v>4</v>
      </c>
      <c r="H22" s="2" t="n">
        <v>3</v>
      </c>
      <c r="I22" s="2" t="n">
        <v>3</v>
      </c>
      <c r="J22" s="2" t="n">
        <v>3</v>
      </c>
      <c r="K22" s="2" t="n">
        <v>2</v>
      </c>
      <c r="L22" s="2" t="n">
        <v>4</v>
      </c>
      <c r="M22" s="2" t="n">
        <v>3</v>
      </c>
      <c r="N22" s="2" t="n">
        <v>5</v>
      </c>
      <c r="O22" s="2" t="s">
        <v>26</v>
      </c>
      <c r="P22" s="2" t="s">
        <v>78</v>
      </c>
      <c r="Q22" s="2" t="s">
        <v>36</v>
      </c>
    </row>
    <row r="23" customFormat="false" ht="15" hidden="false" customHeight="false" outlineLevel="0" collapsed="false">
      <c r="A23" s="2" t="s">
        <v>79</v>
      </c>
      <c r="B23" s="3" t="n">
        <v>46218</v>
      </c>
      <c r="C23" s="2" t="s">
        <v>80</v>
      </c>
      <c r="D23" s="2" t="s">
        <v>19</v>
      </c>
      <c r="E23" s="2" t="s">
        <v>39</v>
      </c>
      <c r="F23" s="2" t="n">
        <v>4</v>
      </c>
      <c r="G23" s="2" t="n">
        <v>5</v>
      </c>
      <c r="H23" s="2" t="n">
        <v>4</v>
      </c>
      <c r="I23" s="2" t="n">
        <v>4</v>
      </c>
      <c r="J23" s="2" t="n">
        <v>4</v>
      </c>
      <c r="K23" s="2" t="n">
        <v>3</v>
      </c>
      <c r="L23" s="2" t="n">
        <v>3</v>
      </c>
      <c r="M23" s="2" t="n">
        <v>4</v>
      </c>
      <c r="N23" s="2" t="n">
        <v>6</v>
      </c>
      <c r="O23" s="2" t="s">
        <v>21</v>
      </c>
      <c r="P23" s="2" t="s">
        <v>81</v>
      </c>
      <c r="Q23" s="2"/>
    </row>
    <row r="24" customFormat="false" ht="15" hidden="false" customHeight="false" outlineLevel="0" collapsed="false">
      <c r="A24" s="2" t="s">
        <v>82</v>
      </c>
      <c r="B24" s="3" t="n">
        <v>46226</v>
      </c>
      <c r="C24" s="2" t="s">
        <v>83</v>
      </c>
      <c r="D24" s="2" t="s">
        <v>19</v>
      </c>
      <c r="E24" s="2" t="s">
        <v>39</v>
      </c>
      <c r="F24" s="2" t="n">
        <v>4</v>
      </c>
      <c r="G24" s="2" t="n">
        <v>4</v>
      </c>
      <c r="H24" s="2" t="n">
        <v>4</v>
      </c>
      <c r="I24" s="2" t="n">
        <v>4</v>
      </c>
      <c r="J24" s="2" t="n">
        <v>4</v>
      </c>
      <c r="K24" s="2" t="n">
        <v>4</v>
      </c>
      <c r="L24" s="2" t="n">
        <v>4</v>
      </c>
      <c r="M24" s="2" t="n">
        <v>4</v>
      </c>
      <c r="N24" s="2" t="n">
        <v>7</v>
      </c>
      <c r="O24" s="2" t="s">
        <v>26</v>
      </c>
      <c r="P24" s="2" t="s">
        <v>69</v>
      </c>
      <c r="Q24" s="2" t="s">
        <v>48</v>
      </c>
    </row>
    <row r="25" customFormat="false" ht="15" hidden="false" customHeight="false" outlineLevel="0" collapsed="false">
      <c r="A25" s="2" t="s">
        <v>84</v>
      </c>
      <c r="B25" s="3" t="n">
        <v>46218</v>
      </c>
      <c r="C25" s="2" t="s">
        <v>75</v>
      </c>
      <c r="D25" s="2" t="s">
        <v>19</v>
      </c>
      <c r="E25" s="2" t="s">
        <v>39</v>
      </c>
      <c r="F25" s="2" t="n">
        <v>2</v>
      </c>
      <c r="G25" s="2" t="n">
        <v>3</v>
      </c>
      <c r="H25" s="2" t="n">
        <v>2</v>
      </c>
      <c r="I25" s="2" t="n">
        <v>3</v>
      </c>
      <c r="J25" s="2" t="n">
        <v>3</v>
      </c>
      <c r="K25" s="2" t="n">
        <v>1</v>
      </c>
      <c r="L25" s="2" t="n">
        <v>1</v>
      </c>
      <c r="M25" s="2" t="n">
        <v>2</v>
      </c>
      <c r="N25" s="2" t="n">
        <v>3</v>
      </c>
      <c r="O25" s="2" t="s">
        <v>26</v>
      </c>
      <c r="P25" s="2"/>
      <c r="Q25" s="2" t="s">
        <v>85</v>
      </c>
    </row>
    <row r="26" customFormat="false" ht="15" hidden="false" customHeight="false" outlineLevel="0" collapsed="false">
      <c r="A26" s="2" t="s">
        <v>86</v>
      </c>
      <c r="B26" s="3" t="n">
        <v>46214</v>
      </c>
      <c r="C26" s="2" t="s">
        <v>87</v>
      </c>
      <c r="D26" s="2" t="s">
        <v>19</v>
      </c>
      <c r="E26" s="2" t="s">
        <v>20</v>
      </c>
      <c r="F26" s="2" t="n">
        <v>4</v>
      </c>
      <c r="G26" s="2" t="n">
        <v>4</v>
      </c>
      <c r="H26" s="2" t="n">
        <v>5</v>
      </c>
      <c r="I26" s="2" t="n">
        <v>3</v>
      </c>
      <c r="J26" s="2" t="n">
        <v>3</v>
      </c>
      <c r="K26" s="2" t="n">
        <v>3</v>
      </c>
      <c r="L26" s="2" t="n">
        <v>5</v>
      </c>
      <c r="M26" s="2" t="n">
        <v>5</v>
      </c>
      <c r="N26" s="2" t="n">
        <v>7</v>
      </c>
      <c r="O26" s="2" t="s">
        <v>26</v>
      </c>
      <c r="P26" s="2" t="s">
        <v>69</v>
      </c>
      <c r="Q26" s="2" t="s">
        <v>59</v>
      </c>
    </row>
    <row r="27" customFormat="false" ht="15" hidden="false" customHeight="false" outlineLevel="0" collapsed="false">
      <c r="A27" s="2" t="s">
        <v>88</v>
      </c>
      <c r="B27" s="3" t="n">
        <v>46219</v>
      </c>
      <c r="C27" s="2" t="s">
        <v>89</v>
      </c>
      <c r="D27" s="2" t="s">
        <v>19</v>
      </c>
      <c r="E27" s="2" t="s">
        <v>20</v>
      </c>
      <c r="F27" s="2" t="n">
        <v>5</v>
      </c>
      <c r="G27" s="2" t="n">
        <v>4</v>
      </c>
      <c r="H27" s="2" t="n">
        <v>4</v>
      </c>
      <c r="I27" s="2" t="n">
        <v>3</v>
      </c>
      <c r="J27" s="2" t="n">
        <v>3</v>
      </c>
      <c r="K27" s="2" t="n">
        <v>4</v>
      </c>
      <c r="L27" s="2" t="n">
        <v>4</v>
      </c>
      <c r="M27" s="2" t="n">
        <v>4</v>
      </c>
      <c r="N27" s="2" t="n">
        <v>7</v>
      </c>
      <c r="O27" s="2" t="s">
        <v>21</v>
      </c>
      <c r="P27" s="2" t="s">
        <v>90</v>
      </c>
      <c r="Q27" s="2"/>
    </row>
    <row r="28" customFormat="false" ht="15" hidden="false" customHeight="false" outlineLevel="0" collapsed="false">
      <c r="A28" s="2" t="s">
        <v>91</v>
      </c>
      <c r="B28" s="3" t="n">
        <v>46216</v>
      </c>
      <c r="C28" s="2" t="s">
        <v>53</v>
      </c>
      <c r="D28" s="2" t="s">
        <v>19</v>
      </c>
      <c r="E28" s="2" t="s">
        <v>25</v>
      </c>
      <c r="F28" s="2" t="n">
        <v>4</v>
      </c>
      <c r="G28" s="2" t="n">
        <v>3</v>
      </c>
      <c r="H28" s="2" t="n">
        <v>4</v>
      </c>
      <c r="I28" s="2" t="n">
        <v>3</v>
      </c>
      <c r="J28" s="2" t="n">
        <v>2</v>
      </c>
      <c r="K28" s="2" t="n">
        <v>2</v>
      </c>
      <c r="L28" s="2" t="n">
        <v>2</v>
      </c>
      <c r="M28" s="2" t="n">
        <v>4</v>
      </c>
      <c r="N28" s="2" t="n">
        <v>4</v>
      </c>
      <c r="O28" s="2" t="s">
        <v>21</v>
      </c>
      <c r="P28" s="2" t="s">
        <v>78</v>
      </c>
      <c r="Q28" s="2" t="s">
        <v>85</v>
      </c>
    </row>
    <row r="29" customFormat="false" ht="15" hidden="false" customHeight="false" outlineLevel="0" collapsed="false">
      <c r="A29" s="2" t="s">
        <v>92</v>
      </c>
      <c r="B29" s="3" t="n">
        <v>46216</v>
      </c>
      <c r="C29" s="2" t="s">
        <v>93</v>
      </c>
      <c r="D29" s="2" t="s">
        <v>19</v>
      </c>
      <c r="E29" s="2" t="s">
        <v>39</v>
      </c>
      <c r="F29" s="2" t="n">
        <v>4</v>
      </c>
      <c r="G29" s="2" t="n">
        <v>4</v>
      </c>
      <c r="H29" s="2" t="n">
        <v>3</v>
      </c>
      <c r="I29" s="2" t="n">
        <v>4</v>
      </c>
      <c r="J29" s="2" t="n">
        <v>4</v>
      </c>
      <c r="K29" s="2" t="n">
        <v>3</v>
      </c>
      <c r="L29" s="2" t="n">
        <v>4</v>
      </c>
      <c r="M29" s="2" t="n">
        <v>4</v>
      </c>
      <c r="N29" s="2" t="n">
        <v>6</v>
      </c>
      <c r="O29" s="2" t="s">
        <v>21</v>
      </c>
      <c r="P29" s="2" t="s">
        <v>71</v>
      </c>
      <c r="Q29" s="2" t="s">
        <v>94</v>
      </c>
    </row>
    <row r="30" customFormat="false" ht="15" hidden="false" customHeight="false" outlineLevel="0" collapsed="false">
      <c r="A30" s="2" t="s">
        <v>95</v>
      </c>
      <c r="B30" s="3" t="n">
        <v>46209</v>
      </c>
      <c r="C30" s="2" t="s">
        <v>83</v>
      </c>
      <c r="D30" s="2" t="s">
        <v>19</v>
      </c>
      <c r="E30" s="2" t="s">
        <v>25</v>
      </c>
      <c r="F30" s="2" t="n">
        <v>3</v>
      </c>
      <c r="G30" s="2" t="n">
        <v>4</v>
      </c>
      <c r="H30" s="2" t="n">
        <v>4</v>
      </c>
      <c r="I30" s="2" t="n">
        <v>4</v>
      </c>
      <c r="J30" s="2" t="n">
        <v>3</v>
      </c>
      <c r="K30" s="2" t="n">
        <v>3</v>
      </c>
      <c r="L30" s="2" t="n">
        <v>1</v>
      </c>
      <c r="M30" s="2" t="n">
        <v>4</v>
      </c>
      <c r="N30" s="2" t="n">
        <v>6</v>
      </c>
      <c r="O30" s="2" t="s">
        <v>21</v>
      </c>
      <c r="P30" s="2" t="s">
        <v>35</v>
      </c>
      <c r="Q30" s="2" t="s">
        <v>36</v>
      </c>
    </row>
    <row r="31" customFormat="false" ht="15" hidden="false" customHeight="false" outlineLevel="0" collapsed="false">
      <c r="A31" s="2" t="s">
        <v>96</v>
      </c>
      <c r="B31" s="3" t="n">
        <v>46223</v>
      </c>
      <c r="C31" s="2" t="s">
        <v>45</v>
      </c>
      <c r="D31" s="2" t="s">
        <v>19</v>
      </c>
      <c r="E31" s="2" t="s">
        <v>34</v>
      </c>
      <c r="F31" s="2" t="n">
        <v>5</v>
      </c>
      <c r="G31" s="2" t="n">
        <v>3</v>
      </c>
      <c r="H31" s="2" t="n">
        <v>4</v>
      </c>
      <c r="I31" s="2" t="n">
        <v>4</v>
      </c>
      <c r="J31" s="2" t="n">
        <v>4</v>
      </c>
      <c r="K31" s="2" t="n">
        <v>1</v>
      </c>
      <c r="L31" s="2" t="n">
        <v>3</v>
      </c>
      <c r="M31" s="2" t="n">
        <v>4</v>
      </c>
      <c r="N31" s="2" t="n">
        <v>6</v>
      </c>
      <c r="O31" s="2" t="s">
        <v>26</v>
      </c>
      <c r="P31" s="2" t="s">
        <v>58</v>
      </c>
      <c r="Q31" s="2" t="s">
        <v>27</v>
      </c>
    </row>
    <row r="32" customFormat="false" ht="15" hidden="false" customHeight="false" outlineLevel="0" collapsed="false">
      <c r="A32" s="2" t="s">
        <v>97</v>
      </c>
      <c r="B32" s="3" t="n">
        <v>46215</v>
      </c>
      <c r="C32" s="2" t="s">
        <v>45</v>
      </c>
      <c r="D32" s="2" t="s">
        <v>19</v>
      </c>
      <c r="E32" s="2" t="s">
        <v>39</v>
      </c>
      <c r="F32" s="2" t="n">
        <v>5</v>
      </c>
      <c r="G32" s="2" t="n">
        <v>3</v>
      </c>
      <c r="H32" s="2" t="n">
        <v>3</v>
      </c>
      <c r="I32" s="2" t="n">
        <v>4</v>
      </c>
      <c r="J32" s="2" t="n">
        <v>5</v>
      </c>
      <c r="K32" s="2" t="n">
        <v>4</v>
      </c>
      <c r="L32" s="2" t="n">
        <v>3</v>
      </c>
      <c r="M32" s="2" t="n">
        <v>4</v>
      </c>
      <c r="N32" s="2" t="n">
        <v>7</v>
      </c>
      <c r="O32" s="2" t="s">
        <v>21</v>
      </c>
      <c r="P32" s="2" t="s">
        <v>98</v>
      </c>
      <c r="Q32" s="2"/>
    </row>
    <row r="33" customFormat="false" ht="15" hidden="false" customHeight="false" outlineLevel="0" collapsed="false">
      <c r="A33" s="2" t="s">
        <v>99</v>
      </c>
      <c r="B33" s="3" t="n">
        <v>46223</v>
      </c>
      <c r="C33" s="2" t="s">
        <v>100</v>
      </c>
      <c r="D33" s="2" t="s">
        <v>19</v>
      </c>
      <c r="E33" s="2" t="s">
        <v>25</v>
      </c>
      <c r="F33" s="2" t="n">
        <v>2</v>
      </c>
      <c r="G33" s="2" t="n">
        <v>2</v>
      </c>
      <c r="H33" s="2" t="n">
        <v>3</v>
      </c>
      <c r="I33" s="2" t="n">
        <v>3</v>
      </c>
      <c r="J33" s="2" t="n">
        <v>3</v>
      </c>
      <c r="K33" s="2" t="n">
        <v>2</v>
      </c>
      <c r="L33" s="2" t="n">
        <v>2</v>
      </c>
      <c r="M33" s="2" t="n">
        <v>3</v>
      </c>
      <c r="N33" s="2" t="n">
        <v>4</v>
      </c>
      <c r="O33" s="2" t="s">
        <v>21</v>
      </c>
      <c r="P33" s="2"/>
      <c r="Q33" s="2" t="s">
        <v>101</v>
      </c>
    </row>
    <row r="34" customFormat="false" ht="15" hidden="false" customHeight="false" outlineLevel="0" collapsed="false">
      <c r="A34" s="2" t="s">
        <v>102</v>
      </c>
      <c r="B34" s="3" t="n">
        <v>46221</v>
      </c>
      <c r="C34" s="2" t="s">
        <v>103</v>
      </c>
      <c r="D34" s="2" t="s">
        <v>19</v>
      </c>
      <c r="E34" s="2" t="s">
        <v>20</v>
      </c>
      <c r="F34" s="2" t="n">
        <v>3</v>
      </c>
      <c r="G34" s="2" t="n">
        <v>3</v>
      </c>
      <c r="H34" s="2" t="n">
        <v>3</v>
      </c>
      <c r="I34" s="2" t="n">
        <v>3</v>
      </c>
      <c r="J34" s="2" t="n">
        <v>5</v>
      </c>
      <c r="K34" s="2" t="n">
        <v>4</v>
      </c>
      <c r="L34" s="2" t="n">
        <v>3</v>
      </c>
      <c r="M34" s="2" t="n">
        <v>3</v>
      </c>
      <c r="N34" s="2" t="n">
        <v>6</v>
      </c>
      <c r="O34" s="2" t="s">
        <v>26</v>
      </c>
      <c r="P34" s="2" t="s">
        <v>51</v>
      </c>
      <c r="Q34" s="2" t="s">
        <v>48</v>
      </c>
    </row>
    <row r="35" customFormat="false" ht="15" hidden="false" customHeight="false" outlineLevel="0" collapsed="false">
      <c r="A35" s="2" t="s">
        <v>104</v>
      </c>
      <c r="B35" s="3" t="n">
        <v>46226</v>
      </c>
      <c r="C35" s="2" t="s">
        <v>103</v>
      </c>
      <c r="D35" s="2" t="s">
        <v>19</v>
      </c>
      <c r="E35" s="2" t="s">
        <v>20</v>
      </c>
      <c r="F35" s="2" t="n">
        <v>4</v>
      </c>
      <c r="G35" s="2" t="n">
        <v>3</v>
      </c>
      <c r="H35" s="2" t="n">
        <v>4</v>
      </c>
      <c r="I35" s="2" t="n">
        <v>4</v>
      </c>
      <c r="J35" s="2" t="n">
        <v>4</v>
      </c>
      <c r="K35" s="2" t="n">
        <v>3</v>
      </c>
      <c r="L35" s="2" t="n">
        <v>1</v>
      </c>
      <c r="M35" s="2" t="n">
        <v>4</v>
      </c>
      <c r="N35" s="2" t="n">
        <v>7</v>
      </c>
      <c r="O35" s="2" t="s">
        <v>21</v>
      </c>
      <c r="P35" s="2" t="s">
        <v>35</v>
      </c>
      <c r="Q35" s="2" t="s">
        <v>59</v>
      </c>
    </row>
    <row r="36" customFormat="false" ht="15" hidden="false" customHeight="false" outlineLevel="0" collapsed="false">
      <c r="A36" s="2" t="s">
        <v>105</v>
      </c>
      <c r="B36" s="3" t="n">
        <v>46217</v>
      </c>
      <c r="C36" s="2" t="s">
        <v>106</v>
      </c>
      <c r="D36" s="2" t="s">
        <v>19</v>
      </c>
      <c r="E36" s="2" t="s">
        <v>25</v>
      </c>
      <c r="F36" s="2" t="n">
        <v>3</v>
      </c>
      <c r="G36" s="2" t="n">
        <v>4</v>
      </c>
      <c r="H36" s="2" t="n">
        <v>3</v>
      </c>
      <c r="I36" s="2" t="n">
        <v>2</v>
      </c>
      <c r="J36" s="2" t="n">
        <v>3</v>
      </c>
      <c r="K36" s="2" t="n">
        <v>1</v>
      </c>
      <c r="L36" s="2" t="n">
        <v>1</v>
      </c>
      <c r="M36" s="2" t="n">
        <v>3</v>
      </c>
      <c r="N36" s="2" t="n">
        <v>4</v>
      </c>
      <c r="O36" s="2" t="s">
        <v>21</v>
      </c>
      <c r="P36" s="2" t="s">
        <v>107</v>
      </c>
      <c r="Q36" s="2" t="s">
        <v>108</v>
      </c>
    </row>
    <row r="37" customFormat="false" ht="15" hidden="false" customHeight="false" outlineLevel="0" collapsed="false">
      <c r="A37" s="2" t="s">
        <v>109</v>
      </c>
      <c r="B37" s="3" t="n">
        <v>46212</v>
      </c>
      <c r="C37" s="2" t="s">
        <v>41</v>
      </c>
      <c r="D37" s="2" t="s">
        <v>19</v>
      </c>
      <c r="E37" s="2" t="s">
        <v>39</v>
      </c>
      <c r="F37" s="2" t="n">
        <v>4</v>
      </c>
      <c r="G37" s="2" t="n">
        <v>3</v>
      </c>
      <c r="H37" s="2" t="n">
        <v>3</v>
      </c>
      <c r="I37" s="2" t="n">
        <v>2</v>
      </c>
      <c r="J37" s="2" t="n">
        <v>4</v>
      </c>
      <c r="K37" s="2" t="n">
        <v>4</v>
      </c>
      <c r="L37" s="2" t="n">
        <v>3</v>
      </c>
      <c r="M37" s="2" t="n">
        <v>4</v>
      </c>
      <c r="N37" s="2" t="n">
        <v>6</v>
      </c>
      <c r="O37" s="2" t="s">
        <v>21</v>
      </c>
      <c r="P37" s="2" t="s">
        <v>51</v>
      </c>
      <c r="Q37" s="2" t="s">
        <v>65</v>
      </c>
    </row>
    <row r="38" customFormat="false" ht="15" hidden="false" customHeight="false" outlineLevel="0" collapsed="false">
      <c r="A38" s="2" t="s">
        <v>110</v>
      </c>
      <c r="B38" s="3" t="n">
        <v>46210</v>
      </c>
      <c r="C38" s="2" t="s">
        <v>41</v>
      </c>
      <c r="D38" s="2" t="s">
        <v>19</v>
      </c>
      <c r="E38" s="2" t="s">
        <v>20</v>
      </c>
      <c r="F38" s="2" t="n">
        <v>5</v>
      </c>
      <c r="G38" s="2" t="n">
        <v>3</v>
      </c>
      <c r="H38" s="2" t="n">
        <v>2</v>
      </c>
      <c r="I38" s="2" t="n">
        <v>4</v>
      </c>
      <c r="J38" s="2" t="n">
        <v>5</v>
      </c>
      <c r="K38" s="2" t="n">
        <v>4</v>
      </c>
      <c r="L38" s="2" t="n">
        <v>3</v>
      </c>
      <c r="M38" s="2" t="n">
        <v>4</v>
      </c>
      <c r="N38" s="2" t="n">
        <v>8</v>
      </c>
      <c r="O38" s="2" t="s">
        <v>26</v>
      </c>
      <c r="P38" s="2" t="s">
        <v>111</v>
      </c>
      <c r="Q38" s="2"/>
    </row>
    <row r="39" customFormat="false" ht="15" hidden="false" customHeight="false" outlineLevel="0" collapsed="false">
      <c r="A39" s="2" t="s">
        <v>112</v>
      </c>
      <c r="B39" s="3" t="n">
        <v>46211</v>
      </c>
      <c r="C39" s="2" t="s">
        <v>113</v>
      </c>
      <c r="D39" s="2" t="s">
        <v>19</v>
      </c>
      <c r="E39" s="2" t="s">
        <v>25</v>
      </c>
      <c r="F39" s="2" t="n">
        <v>2</v>
      </c>
      <c r="G39" s="2" t="n">
        <v>1</v>
      </c>
      <c r="H39" s="2" t="n">
        <v>2</v>
      </c>
      <c r="I39" s="2" t="n">
        <v>2</v>
      </c>
      <c r="J39" s="2" t="n">
        <v>2</v>
      </c>
      <c r="K39" s="2" t="n">
        <v>1</v>
      </c>
      <c r="L39" s="2" t="n">
        <v>1</v>
      </c>
      <c r="M39" s="2" t="n">
        <v>1</v>
      </c>
      <c r="N39" s="2" t="n">
        <v>1</v>
      </c>
      <c r="O39" s="2" t="s">
        <v>21</v>
      </c>
      <c r="P39" s="2"/>
      <c r="Q39" s="2" t="s">
        <v>27</v>
      </c>
    </row>
    <row r="40" customFormat="false" ht="15" hidden="false" customHeight="false" outlineLevel="0" collapsed="false">
      <c r="A40" s="2" t="s">
        <v>114</v>
      </c>
      <c r="B40" s="3" t="n">
        <v>46223</v>
      </c>
      <c r="C40" s="2" t="s">
        <v>62</v>
      </c>
      <c r="D40" s="2" t="s">
        <v>115</v>
      </c>
      <c r="E40" s="2" t="s">
        <v>39</v>
      </c>
      <c r="F40" s="2" t="n">
        <v>4</v>
      </c>
      <c r="G40" s="2" t="n">
        <v>3</v>
      </c>
      <c r="H40" s="2" t="n">
        <v>4</v>
      </c>
      <c r="I40" s="2" t="n">
        <v>3</v>
      </c>
      <c r="J40" s="2" t="n">
        <v>5</v>
      </c>
      <c r="K40" s="2" t="n">
        <v>3</v>
      </c>
      <c r="L40" s="2" t="n">
        <v>3</v>
      </c>
      <c r="M40" s="2" t="n">
        <v>3</v>
      </c>
      <c r="N40" s="2" t="n">
        <v>6</v>
      </c>
      <c r="O40" s="2" t="s">
        <v>26</v>
      </c>
      <c r="P40" s="2" t="s">
        <v>116</v>
      </c>
      <c r="Q40" s="2" t="s">
        <v>108</v>
      </c>
    </row>
    <row r="41" customFormat="false" ht="15" hidden="false" customHeight="false" outlineLevel="0" collapsed="false">
      <c r="A41" s="2" t="s">
        <v>117</v>
      </c>
      <c r="B41" s="3" t="n">
        <v>46214</v>
      </c>
      <c r="C41" s="2" t="s">
        <v>45</v>
      </c>
      <c r="D41" s="2" t="s">
        <v>19</v>
      </c>
      <c r="E41" s="2" t="s">
        <v>34</v>
      </c>
      <c r="F41" s="2" t="n">
        <v>2</v>
      </c>
      <c r="G41" s="2" t="n">
        <v>3</v>
      </c>
      <c r="H41" s="2" t="n">
        <v>4</v>
      </c>
      <c r="I41" s="2" t="n">
        <v>3</v>
      </c>
      <c r="J41" s="2" t="n">
        <v>3</v>
      </c>
      <c r="K41" s="2" t="n">
        <v>2</v>
      </c>
      <c r="L41" s="2" t="n">
        <v>2</v>
      </c>
      <c r="M41" s="2" t="n">
        <v>4</v>
      </c>
      <c r="N41" s="2" t="n">
        <v>5</v>
      </c>
      <c r="O41" s="2" t="s">
        <v>26</v>
      </c>
      <c r="P41" s="2" t="s">
        <v>98</v>
      </c>
      <c r="Q41" s="2" t="s">
        <v>22</v>
      </c>
    </row>
    <row r="42" customFormat="false" ht="15" hidden="false" customHeight="false" outlineLevel="0" collapsed="false">
      <c r="A42" s="2" t="s">
        <v>118</v>
      </c>
      <c r="B42" s="3" t="n">
        <v>46211</v>
      </c>
      <c r="C42" s="2" t="s">
        <v>45</v>
      </c>
      <c r="D42" s="2" t="s">
        <v>19</v>
      </c>
      <c r="E42" s="2" t="s">
        <v>20</v>
      </c>
      <c r="F42" s="2" t="n">
        <v>5</v>
      </c>
      <c r="G42" s="2" t="n">
        <v>4</v>
      </c>
      <c r="H42" s="2" t="n">
        <v>4</v>
      </c>
      <c r="I42" s="2" t="n">
        <v>4</v>
      </c>
      <c r="J42" s="2" t="n">
        <v>3</v>
      </c>
      <c r="K42" s="2" t="n">
        <v>3</v>
      </c>
      <c r="L42" s="2" t="n">
        <v>4</v>
      </c>
      <c r="M42" s="2" t="n">
        <v>4</v>
      </c>
      <c r="N42" s="2" t="n">
        <v>7</v>
      </c>
      <c r="O42" s="2" t="s">
        <v>21</v>
      </c>
      <c r="P42" s="2" t="s">
        <v>69</v>
      </c>
      <c r="Q42" s="2"/>
    </row>
    <row r="43" customFormat="false" ht="15" hidden="false" customHeight="false" outlineLevel="0" collapsed="false">
      <c r="A43" s="2" t="s">
        <v>119</v>
      </c>
      <c r="B43" s="3" t="n">
        <v>46214</v>
      </c>
      <c r="C43" s="2" t="s">
        <v>113</v>
      </c>
      <c r="D43" s="2" t="s">
        <v>19</v>
      </c>
      <c r="E43" s="2" t="s">
        <v>39</v>
      </c>
      <c r="F43" s="2" t="n">
        <v>2</v>
      </c>
      <c r="G43" s="2" t="n">
        <v>1</v>
      </c>
      <c r="H43" s="2" t="n">
        <v>2</v>
      </c>
      <c r="I43" s="2" t="n">
        <v>2</v>
      </c>
      <c r="J43" s="2" t="n">
        <v>1</v>
      </c>
      <c r="K43" s="2" t="n">
        <v>1</v>
      </c>
      <c r="L43" s="2" t="n">
        <v>2</v>
      </c>
      <c r="M43" s="2" t="n">
        <v>3</v>
      </c>
      <c r="N43" s="2" t="n">
        <v>4</v>
      </c>
      <c r="O43" s="2" t="s">
        <v>21</v>
      </c>
      <c r="P43" s="2" t="s">
        <v>90</v>
      </c>
      <c r="Q43" s="2" t="s">
        <v>48</v>
      </c>
    </row>
    <row r="44" customFormat="false" ht="15" hidden="false" customHeight="false" outlineLevel="0" collapsed="false">
      <c r="A44" s="2" t="s">
        <v>120</v>
      </c>
      <c r="B44" s="3" t="n">
        <v>46216</v>
      </c>
      <c r="C44" s="2" t="s">
        <v>73</v>
      </c>
      <c r="D44" s="2" t="s">
        <v>19</v>
      </c>
      <c r="E44" s="2" t="s">
        <v>39</v>
      </c>
      <c r="F44" s="2" t="n">
        <v>2</v>
      </c>
      <c r="G44" s="2" t="n">
        <v>3</v>
      </c>
      <c r="H44" s="2" t="n">
        <v>2</v>
      </c>
      <c r="I44" s="2" t="n">
        <v>3</v>
      </c>
      <c r="J44" s="2" t="n">
        <v>3</v>
      </c>
      <c r="K44" s="2" t="n">
        <v>2</v>
      </c>
      <c r="L44" s="2" t="n">
        <v>1</v>
      </c>
      <c r="M44" s="2" t="n">
        <v>3</v>
      </c>
      <c r="N44" s="2" t="n">
        <v>5</v>
      </c>
      <c r="O44" s="2" t="s">
        <v>21</v>
      </c>
      <c r="P44" s="2"/>
      <c r="Q44" s="2" t="s">
        <v>108</v>
      </c>
    </row>
    <row r="45" customFormat="false" ht="15" hidden="false" customHeight="false" outlineLevel="0" collapsed="false">
      <c r="A45" s="2" t="s">
        <v>121</v>
      </c>
      <c r="B45" s="3" t="n">
        <v>46210</v>
      </c>
      <c r="C45" s="2" t="s">
        <v>67</v>
      </c>
      <c r="D45" s="2" t="s">
        <v>19</v>
      </c>
      <c r="E45" s="2" t="s">
        <v>25</v>
      </c>
      <c r="F45" s="2" t="n">
        <v>5</v>
      </c>
      <c r="G45" s="2" t="n">
        <v>3</v>
      </c>
      <c r="H45" s="2" t="n">
        <v>4</v>
      </c>
      <c r="I45" s="2" t="n">
        <v>3</v>
      </c>
      <c r="J45" s="2" t="n">
        <v>4</v>
      </c>
      <c r="K45" s="2" t="n">
        <v>3</v>
      </c>
      <c r="L45" s="2" t="n">
        <v>1</v>
      </c>
      <c r="M45" s="2" t="n">
        <v>3</v>
      </c>
      <c r="N45" s="2" t="n">
        <v>5</v>
      </c>
      <c r="O45" s="2" t="s">
        <v>26</v>
      </c>
      <c r="P45" s="2" t="s">
        <v>58</v>
      </c>
      <c r="Q45" s="2" t="s">
        <v>85</v>
      </c>
    </row>
    <row r="46" customFormat="false" ht="15" hidden="false" customHeight="false" outlineLevel="0" collapsed="false">
      <c r="A46" s="2" t="s">
        <v>122</v>
      </c>
      <c r="B46" s="3" t="n">
        <v>46212</v>
      </c>
      <c r="C46" s="2" t="s">
        <v>83</v>
      </c>
      <c r="D46" s="2" t="s">
        <v>19</v>
      </c>
      <c r="E46" s="2" t="s">
        <v>39</v>
      </c>
      <c r="F46" s="2" t="n">
        <v>4</v>
      </c>
      <c r="G46" s="2" t="n">
        <v>4</v>
      </c>
      <c r="H46" s="2" t="n">
        <v>4</v>
      </c>
      <c r="I46" s="2" t="n">
        <v>4</v>
      </c>
      <c r="J46" s="2" t="n">
        <v>4</v>
      </c>
      <c r="K46" s="2" t="n">
        <v>3</v>
      </c>
      <c r="L46" s="2" t="n">
        <v>4</v>
      </c>
      <c r="M46" s="2" t="n">
        <v>4</v>
      </c>
      <c r="N46" s="2" t="n">
        <v>9</v>
      </c>
      <c r="O46" s="2" t="s">
        <v>26</v>
      </c>
      <c r="P46" s="2" t="s">
        <v>69</v>
      </c>
      <c r="Q46" s="2"/>
    </row>
    <row r="47" customFormat="false" ht="15" hidden="false" customHeight="false" outlineLevel="0" collapsed="false">
      <c r="A47" s="2" t="s">
        <v>123</v>
      </c>
      <c r="B47" s="3" t="n">
        <v>46214</v>
      </c>
      <c r="C47" s="2" t="s">
        <v>124</v>
      </c>
      <c r="D47" s="2" t="s">
        <v>19</v>
      </c>
      <c r="E47" s="2" t="s">
        <v>20</v>
      </c>
      <c r="F47" s="2" t="n">
        <v>3</v>
      </c>
      <c r="G47" s="2" t="n">
        <v>3</v>
      </c>
      <c r="H47" s="2" t="n">
        <v>3</v>
      </c>
      <c r="I47" s="2" t="n">
        <v>3</v>
      </c>
      <c r="J47" s="2" t="n">
        <v>3</v>
      </c>
      <c r="K47" s="2" t="n">
        <v>3</v>
      </c>
      <c r="L47" s="2" t="n">
        <v>3</v>
      </c>
      <c r="M47" s="2" t="n">
        <v>3</v>
      </c>
      <c r="N47" s="2" t="n">
        <v>4</v>
      </c>
      <c r="O47" s="2" t="s">
        <v>21</v>
      </c>
      <c r="P47" s="2" t="s">
        <v>35</v>
      </c>
      <c r="Q47" s="2" t="s">
        <v>85</v>
      </c>
    </row>
    <row r="48" customFormat="false" ht="15" hidden="false" customHeight="false" outlineLevel="0" collapsed="false">
      <c r="A48" s="2" t="s">
        <v>125</v>
      </c>
      <c r="B48" s="3" t="n">
        <v>46225</v>
      </c>
      <c r="C48" s="2" t="s">
        <v>126</v>
      </c>
      <c r="D48" s="2" t="s">
        <v>19</v>
      </c>
      <c r="E48" s="2" t="s">
        <v>20</v>
      </c>
      <c r="F48" s="2" t="n">
        <v>3</v>
      </c>
      <c r="G48" s="2" t="n">
        <v>3</v>
      </c>
      <c r="H48" s="2" t="n">
        <v>2</v>
      </c>
      <c r="I48" s="2" t="n">
        <v>4</v>
      </c>
      <c r="J48" s="2" t="n">
        <v>4</v>
      </c>
      <c r="K48" s="2" t="n">
        <v>3</v>
      </c>
      <c r="L48" s="2" t="n">
        <v>2</v>
      </c>
      <c r="M48" s="2" t="n">
        <v>4</v>
      </c>
      <c r="N48" s="2" t="n">
        <v>6</v>
      </c>
      <c r="O48" s="2" t="s">
        <v>26</v>
      </c>
      <c r="P48" s="2" t="s">
        <v>58</v>
      </c>
      <c r="Q48" s="2" t="s">
        <v>36</v>
      </c>
    </row>
    <row r="49" customFormat="false" ht="15" hidden="false" customHeight="false" outlineLevel="0" collapsed="false">
      <c r="A49" s="2" t="s">
        <v>127</v>
      </c>
      <c r="B49" s="3" t="n">
        <v>46224</v>
      </c>
      <c r="C49" s="2" t="s">
        <v>83</v>
      </c>
      <c r="D49" s="2" t="s">
        <v>19</v>
      </c>
      <c r="E49" s="2" t="s">
        <v>20</v>
      </c>
      <c r="F49" s="2" t="n">
        <v>4</v>
      </c>
      <c r="G49" s="2" t="n">
        <v>4</v>
      </c>
      <c r="H49" s="2" t="n">
        <v>3</v>
      </c>
      <c r="I49" s="2" t="n">
        <v>4</v>
      </c>
      <c r="J49" s="2" t="n">
        <v>4</v>
      </c>
      <c r="K49" s="2" t="n">
        <v>4</v>
      </c>
      <c r="L49" s="2" t="n">
        <v>4</v>
      </c>
      <c r="M49" s="2" t="n">
        <v>4</v>
      </c>
      <c r="N49" s="2" t="n">
        <v>5</v>
      </c>
      <c r="O49" s="2" t="s">
        <v>21</v>
      </c>
      <c r="P49" s="2" t="s">
        <v>90</v>
      </c>
      <c r="Q49" s="2" t="s">
        <v>128</v>
      </c>
    </row>
    <row r="50" customFormat="false" ht="15" hidden="false" customHeight="false" outlineLevel="0" collapsed="false">
      <c r="A50" s="2" t="s">
        <v>129</v>
      </c>
      <c r="B50" s="3" t="n">
        <v>46223</v>
      </c>
      <c r="C50" s="2" t="s">
        <v>130</v>
      </c>
      <c r="D50" s="2" t="s">
        <v>33</v>
      </c>
      <c r="E50" s="2" t="s">
        <v>39</v>
      </c>
      <c r="F50" s="2" t="n">
        <v>3</v>
      </c>
      <c r="G50" s="2" t="n">
        <v>3</v>
      </c>
      <c r="H50" s="2" t="n">
        <v>2</v>
      </c>
      <c r="I50" s="2" t="n">
        <v>2</v>
      </c>
      <c r="J50" s="2" t="n">
        <v>1</v>
      </c>
      <c r="K50" s="2" t="n">
        <v>2</v>
      </c>
      <c r="L50" s="2" t="n">
        <v>2</v>
      </c>
      <c r="M50" s="2" t="n">
        <v>4</v>
      </c>
      <c r="N50" s="2" t="n">
        <v>4</v>
      </c>
      <c r="O50" s="2" t="s">
        <v>26</v>
      </c>
      <c r="P50" s="2"/>
      <c r="Q50" s="2" t="s">
        <v>36</v>
      </c>
    </row>
    <row r="51" customFormat="false" ht="15" hidden="false" customHeight="false" outlineLevel="0" collapsed="false">
      <c r="A51" s="2" t="s">
        <v>131</v>
      </c>
      <c r="B51" s="3" t="n">
        <v>46224</v>
      </c>
      <c r="C51" s="2" t="s">
        <v>126</v>
      </c>
      <c r="D51" s="2" t="s">
        <v>19</v>
      </c>
      <c r="E51" s="2" t="s">
        <v>34</v>
      </c>
      <c r="F51" s="2" t="n">
        <v>4</v>
      </c>
      <c r="G51" s="2" t="n">
        <v>3</v>
      </c>
      <c r="H51" s="2" t="n">
        <v>4</v>
      </c>
      <c r="I51" s="2" t="n">
        <v>5</v>
      </c>
      <c r="J51" s="2" t="n">
        <v>4</v>
      </c>
      <c r="K51" s="2" t="n">
        <v>2</v>
      </c>
      <c r="L51" s="2" t="n">
        <v>2</v>
      </c>
      <c r="M51" s="2" t="n">
        <v>4</v>
      </c>
      <c r="N51" s="2" t="n">
        <v>7</v>
      </c>
      <c r="O51" s="2" t="s">
        <v>21</v>
      </c>
      <c r="P51" s="2" t="s">
        <v>51</v>
      </c>
      <c r="Q51" s="2" t="s">
        <v>101</v>
      </c>
    </row>
    <row r="52" customFormat="false" ht="15" hidden="false" customHeight="false" outlineLevel="0" collapsed="false">
      <c r="A52" s="2" t="s">
        <v>132</v>
      </c>
      <c r="B52" s="3" t="n">
        <v>46209</v>
      </c>
      <c r="C52" s="2" t="s">
        <v>45</v>
      </c>
      <c r="D52" s="2" t="s">
        <v>19</v>
      </c>
      <c r="E52" s="2" t="s">
        <v>20</v>
      </c>
      <c r="F52" s="2" t="n">
        <v>5</v>
      </c>
      <c r="G52" s="2" t="n">
        <v>3</v>
      </c>
      <c r="H52" s="2" t="n">
        <v>4</v>
      </c>
      <c r="I52" s="2" t="n">
        <v>3</v>
      </c>
      <c r="J52" s="2" t="n">
        <v>4</v>
      </c>
      <c r="K52" s="2" t="n">
        <v>4</v>
      </c>
      <c r="L52" s="2" t="n">
        <v>3</v>
      </c>
      <c r="M52" s="2" t="n">
        <v>3</v>
      </c>
      <c r="N52" s="2" t="n">
        <v>6</v>
      </c>
      <c r="O52" s="2" t="s">
        <v>26</v>
      </c>
      <c r="P52" s="2" t="s">
        <v>69</v>
      </c>
      <c r="Q52" s="2"/>
    </row>
    <row r="53" customFormat="false" ht="15" hidden="false" customHeight="false" outlineLevel="0" collapsed="false">
      <c r="A53" s="2" t="s">
        <v>133</v>
      </c>
      <c r="B53" s="3" t="n">
        <v>46210</v>
      </c>
      <c r="C53" s="2" t="s">
        <v>38</v>
      </c>
      <c r="D53" s="2" t="s">
        <v>19</v>
      </c>
      <c r="E53" s="2" t="s">
        <v>20</v>
      </c>
      <c r="F53" s="2" t="n">
        <v>2</v>
      </c>
      <c r="G53" s="2" t="n">
        <v>1</v>
      </c>
      <c r="H53" s="2" t="n">
        <v>1</v>
      </c>
      <c r="I53" s="2" t="n">
        <v>3</v>
      </c>
      <c r="J53" s="2" t="n">
        <v>1</v>
      </c>
      <c r="K53" s="2" t="n">
        <v>1</v>
      </c>
      <c r="L53" s="2" t="n">
        <v>2</v>
      </c>
      <c r="M53" s="2" t="n">
        <v>2</v>
      </c>
      <c r="N53" s="2" t="n">
        <v>2</v>
      </c>
      <c r="O53" s="2" t="s">
        <v>26</v>
      </c>
      <c r="P53" s="2"/>
      <c r="Q53" s="2" t="s">
        <v>55</v>
      </c>
    </row>
    <row r="54" customFormat="false" ht="15" hidden="false" customHeight="false" outlineLevel="0" collapsed="false">
      <c r="A54" s="2" t="s">
        <v>134</v>
      </c>
      <c r="B54" s="3" t="n">
        <v>46215</v>
      </c>
      <c r="C54" s="2" t="s">
        <v>135</v>
      </c>
      <c r="D54" s="2" t="s">
        <v>19</v>
      </c>
      <c r="E54" s="2" t="s">
        <v>25</v>
      </c>
      <c r="F54" s="2" t="n">
        <v>2</v>
      </c>
      <c r="G54" s="2" t="n">
        <v>3</v>
      </c>
      <c r="H54" s="2" t="n">
        <v>2</v>
      </c>
      <c r="I54" s="2" t="n">
        <v>2</v>
      </c>
      <c r="J54" s="2" t="n">
        <v>2</v>
      </c>
      <c r="K54" s="2" t="n">
        <v>3</v>
      </c>
      <c r="L54" s="2" t="n">
        <v>1</v>
      </c>
      <c r="M54" s="2" t="n">
        <v>1</v>
      </c>
      <c r="N54" s="2" t="n">
        <v>3</v>
      </c>
      <c r="O54" s="2" t="s">
        <v>26</v>
      </c>
      <c r="P54" s="2" t="s">
        <v>111</v>
      </c>
      <c r="Q54" s="2" t="s">
        <v>27</v>
      </c>
    </row>
    <row r="55" customFormat="false" ht="15" hidden="false" customHeight="false" outlineLevel="0" collapsed="false">
      <c r="A55" s="2" t="s">
        <v>136</v>
      </c>
      <c r="B55" s="3" t="n">
        <v>46212</v>
      </c>
      <c r="C55" s="2" t="s">
        <v>137</v>
      </c>
      <c r="D55" s="2" t="s">
        <v>19</v>
      </c>
      <c r="E55" s="2" t="s">
        <v>20</v>
      </c>
      <c r="F55" s="2" t="n">
        <v>5</v>
      </c>
      <c r="G55" s="2" t="n">
        <v>4</v>
      </c>
      <c r="H55" s="2" t="n">
        <v>4</v>
      </c>
      <c r="I55" s="2" t="n">
        <v>5</v>
      </c>
      <c r="J55" s="2" t="n">
        <v>5</v>
      </c>
      <c r="K55" s="2" t="n">
        <v>3</v>
      </c>
      <c r="L55" s="2" t="n">
        <v>3</v>
      </c>
      <c r="M55" s="2" t="n">
        <v>4</v>
      </c>
      <c r="N55" s="2" t="n">
        <v>9</v>
      </c>
      <c r="O55" s="2" t="s">
        <v>21</v>
      </c>
      <c r="P55" s="2" t="s">
        <v>42</v>
      </c>
      <c r="Q55" s="2"/>
    </row>
    <row r="56" customFormat="false" ht="15" hidden="false" customHeight="false" outlineLevel="0" collapsed="false">
      <c r="A56" s="2" t="s">
        <v>138</v>
      </c>
      <c r="B56" s="3" t="n">
        <v>46216</v>
      </c>
      <c r="C56" s="2" t="s">
        <v>103</v>
      </c>
      <c r="D56" s="2" t="s">
        <v>19</v>
      </c>
      <c r="E56" s="2" t="s">
        <v>39</v>
      </c>
      <c r="F56" s="2" t="n">
        <v>3</v>
      </c>
      <c r="G56" s="2" t="n">
        <v>5</v>
      </c>
      <c r="H56" s="2" t="n">
        <v>4</v>
      </c>
      <c r="I56" s="2" t="n">
        <v>3</v>
      </c>
      <c r="J56" s="2" t="n">
        <v>5</v>
      </c>
      <c r="K56" s="2" t="n">
        <v>4</v>
      </c>
      <c r="L56" s="2" t="n">
        <v>5</v>
      </c>
      <c r="M56" s="2" t="n">
        <v>5</v>
      </c>
      <c r="N56" s="2" t="n">
        <v>8</v>
      </c>
      <c r="O56" s="2" t="s">
        <v>21</v>
      </c>
      <c r="P56" s="2" t="s">
        <v>111</v>
      </c>
      <c r="Q56" s="2"/>
    </row>
    <row r="57" customFormat="false" ht="15" hidden="false" customHeight="false" outlineLevel="0" collapsed="false">
      <c r="A57" s="2" t="s">
        <v>139</v>
      </c>
      <c r="B57" s="3" t="n">
        <v>46227</v>
      </c>
      <c r="C57" s="2" t="s">
        <v>124</v>
      </c>
      <c r="D57" s="2" t="s">
        <v>19</v>
      </c>
      <c r="E57" s="2" t="s">
        <v>25</v>
      </c>
      <c r="F57" s="2" t="n">
        <v>2</v>
      </c>
      <c r="G57" s="2" t="n">
        <v>3</v>
      </c>
      <c r="H57" s="2" t="n">
        <v>3</v>
      </c>
      <c r="I57" s="2" t="n">
        <v>1</v>
      </c>
      <c r="J57" s="2" t="n">
        <v>4</v>
      </c>
      <c r="K57" s="2" t="n">
        <v>2</v>
      </c>
      <c r="L57" s="2" t="n">
        <v>1</v>
      </c>
      <c r="M57" s="2" t="n">
        <v>4</v>
      </c>
      <c r="N57" s="2" t="n">
        <v>4</v>
      </c>
      <c r="O57" s="2" t="s">
        <v>26</v>
      </c>
      <c r="P57" s="2"/>
      <c r="Q57" s="2" t="s">
        <v>94</v>
      </c>
    </row>
    <row r="58" customFormat="false" ht="15" hidden="false" customHeight="false" outlineLevel="0" collapsed="false">
      <c r="A58" s="2" t="s">
        <v>140</v>
      </c>
      <c r="B58" s="3" t="n">
        <v>46216</v>
      </c>
      <c r="C58" s="2" t="s">
        <v>57</v>
      </c>
      <c r="D58" s="2" t="s">
        <v>19</v>
      </c>
      <c r="E58" s="2" t="s">
        <v>39</v>
      </c>
      <c r="F58" s="2" t="n">
        <v>4</v>
      </c>
      <c r="G58" s="2" t="n">
        <v>4</v>
      </c>
      <c r="H58" s="2" t="n">
        <v>3</v>
      </c>
      <c r="I58" s="2" t="n">
        <v>3</v>
      </c>
      <c r="J58" s="2" t="n">
        <v>3</v>
      </c>
      <c r="K58" s="2" t="n">
        <v>3</v>
      </c>
      <c r="L58" s="2" t="n">
        <v>4</v>
      </c>
      <c r="M58" s="2" t="n">
        <v>3</v>
      </c>
      <c r="N58" s="2" t="n">
        <v>7</v>
      </c>
      <c r="O58" s="2" t="s">
        <v>26</v>
      </c>
      <c r="P58" s="2" t="s">
        <v>51</v>
      </c>
      <c r="Q58" s="2" t="s">
        <v>43</v>
      </c>
    </row>
    <row r="59" customFormat="false" ht="15" hidden="false" customHeight="false" outlineLevel="0" collapsed="false">
      <c r="A59" s="2" t="s">
        <v>141</v>
      </c>
      <c r="B59" s="3" t="n">
        <v>46212</v>
      </c>
      <c r="C59" s="2" t="s">
        <v>142</v>
      </c>
      <c r="D59" s="2" t="s">
        <v>19</v>
      </c>
      <c r="E59" s="2" t="s">
        <v>34</v>
      </c>
      <c r="F59" s="2" t="n">
        <v>5</v>
      </c>
      <c r="G59" s="2" t="n">
        <v>3</v>
      </c>
      <c r="H59" s="2" t="n">
        <v>3</v>
      </c>
      <c r="I59" s="2" t="n">
        <v>3</v>
      </c>
      <c r="J59" s="2" t="n">
        <v>3</v>
      </c>
      <c r="K59" s="2" t="n">
        <v>1</v>
      </c>
      <c r="L59" s="2" t="n">
        <v>2</v>
      </c>
      <c r="M59" s="2" t="n">
        <v>3</v>
      </c>
      <c r="N59" s="2" t="n">
        <v>5</v>
      </c>
      <c r="O59" s="2" t="s">
        <v>26</v>
      </c>
      <c r="P59" s="2"/>
      <c r="Q59" s="2" t="s">
        <v>85</v>
      </c>
    </row>
    <row r="60" customFormat="false" ht="15" hidden="false" customHeight="false" outlineLevel="0" collapsed="false">
      <c r="A60" s="2" t="s">
        <v>143</v>
      </c>
      <c r="B60" s="3" t="n">
        <v>46209</v>
      </c>
      <c r="C60" s="2" t="s">
        <v>144</v>
      </c>
      <c r="D60" s="2" t="s">
        <v>33</v>
      </c>
      <c r="E60" s="2" t="s">
        <v>20</v>
      </c>
      <c r="F60" s="2" t="n">
        <v>3</v>
      </c>
      <c r="G60" s="2" t="n">
        <v>2</v>
      </c>
      <c r="H60" s="2" t="n">
        <v>3</v>
      </c>
      <c r="I60" s="2" t="n">
        <v>4</v>
      </c>
      <c r="J60" s="2" t="n">
        <v>2</v>
      </c>
      <c r="K60" s="2" t="n">
        <v>2</v>
      </c>
      <c r="L60" s="2" t="n">
        <v>3</v>
      </c>
      <c r="M60" s="2" t="n">
        <v>4</v>
      </c>
      <c r="N60" s="2" t="n">
        <v>5</v>
      </c>
      <c r="O60" s="2" t="s">
        <v>21</v>
      </c>
      <c r="P60" s="2"/>
      <c r="Q60" s="2" t="s">
        <v>30</v>
      </c>
    </row>
    <row r="61" customFormat="false" ht="15" hidden="false" customHeight="false" outlineLevel="0" collapsed="false">
      <c r="A61" s="2" t="s">
        <v>145</v>
      </c>
      <c r="B61" s="3" t="n">
        <v>46224</v>
      </c>
      <c r="C61" s="2" t="s">
        <v>135</v>
      </c>
      <c r="D61" s="2" t="s">
        <v>19</v>
      </c>
      <c r="E61" s="2" t="s">
        <v>39</v>
      </c>
      <c r="F61" s="2" t="n">
        <v>4</v>
      </c>
      <c r="G61" s="2" t="n">
        <v>3</v>
      </c>
      <c r="H61" s="2" t="n">
        <v>5</v>
      </c>
      <c r="I61" s="2" t="n">
        <v>4</v>
      </c>
      <c r="J61" s="2" t="n">
        <v>3</v>
      </c>
      <c r="K61" s="2" t="n">
        <v>3</v>
      </c>
      <c r="L61" s="2" t="n">
        <v>4</v>
      </c>
      <c r="M61" s="2" t="n">
        <v>3</v>
      </c>
      <c r="N61" s="2" t="n">
        <v>5</v>
      </c>
      <c r="O61" s="2" t="s">
        <v>21</v>
      </c>
      <c r="P61" s="2" t="s">
        <v>107</v>
      </c>
      <c r="Q61" s="2"/>
    </row>
    <row r="62" customFormat="false" ht="15" hidden="false" customHeight="false" outlineLevel="0" collapsed="false">
      <c r="A62" s="2" t="s">
        <v>146</v>
      </c>
      <c r="B62" s="3" t="n">
        <v>46217</v>
      </c>
      <c r="C62" s="2" t="s">
        <v>147</v>
      </c>
      <c r="D62" s="2" t="s">
        <v>19</v>
      </c>
      <c r="E62" s="2" t="s">
        <v>34</v>
      </c>
      <c r="F62" s="2" t="n">
        <v>4</v>
      </c>
      <c r="G62" s="2" t="n">
        <v>3</v>
      </c>
      <c r="H62" s="2" t="n">
        <v>3</v>
      </c>
      <c r="I62" s="2" t="n">
        <v>4</v>
      </c>
      <c r="J62" s="2" t="n">
        <v>3</v>
      </c>
      <c r="K62" s="2" t="n">
        <v>3</v>
      </c>
      <c r="L62" s="2" t="n">
        <v>3</v>
      </c>
      <c r="M62" s="2" t="n">
        <v>3</v>
      </c>
      <c r="N62" s="2" t="n">
        <v>4</v>
      </c>
      <c r="O62" s="2" t="s">
        <v>21</v>
      </c>
      <c r="P62" s="2" t="s">
        <v>35</v>
      </c>
      <c r="Q62" s="2" t="s">
        <v>43</v>
      </c>
    </row>
    <row r="63" customFormat="false" ht="15" hidden="false" customHeight="false" outlineLevel="0" collapsed="false">
      <c r="A63" s="2" t="s">
        <v>148</v>
      </c>
      <c r="B63" s="3" t="n">
        <v>46220</v>
      </c>
      <c r="C63" s="2" t="s">
        <v>41</v>
      </c>
      <c r="D63" s="2" t="s">
        <v>19</v>
      </c>
      <c r="E63" s="2" t="s">
        <v>39</v>
      </c>
      <c r="F63" s="2" t="n">
        <v>3</v>
      </c>
      <c r="G63" s="2" t="n">
        <v>3</v>
      </c>
      <c r="H63" s="2" t="n">
        <v>3</v>
      </c>
      <c r="I63" s="2" t="n">
        <v>3</v>
      </c>
      <c r="J63" s="2" t="n">
        <v>2</v>
      </c>
      <c r="K63" s="2" t="n">
        <v>3</v>
      </c>
      <c r="L63" s="2" t="n">
        <v>4</v>
      </c>
      <c r="M63" s="2" t="n">
        <v>5</v>
      </c>
      <c r="N63" s="2" t="n">
        <v>7</v>
      </c>
      <c r="O63" s="2" t="s">
        <v>26</v>
      </c>
      <c r="P63" s="2" t="s">
        <v>116</v>
      </c>
      <c r="Q63" s="2" t="s">
        <v>22</v>
      </c>
    </row>
    <row r="64" customFormat="false" ht="15" hidden="false" customHeight="false" outlineLevel="0" collapsed="false">
      <c r="A64" s="2" t="s">
        <v>149</v>
      </c>
      <c r="B64" s="3" t="n">
        <v>46222</v>
      </c>
      <c r="C64" s="2" t="s">
        <v>67</v>
      </c>
      <c r="D64" s="2" t="s">
        <v>19</v>
      </c>
      <c r="E64" s="2" t="s">
        <v>25</v>
      </c>
      <c r="F64" s="2" t="n">
        <v>4</v>
      </c>
      <c r="G64" s="2" t="n">
        <v>5</v>
      </c>
      <c r="H64" s="2" t="n">
        <v>2</v>
      </c>
      <c r="I64" s="2" t="n">
        <v>2</v>
      </c>
      <c r="J64" s="2" t="n">
        <v>4</v>
      </c>
      <c r="K64" s="2" t="n">
        <v>2</v>
      </c>
      <c r="L64" s="2" t="n">
        <v>2</v>
      </c>
      <c r="M64" s="2" t="n">
        <v>4</v>
      </c>
      <c r="N64" s="2" t="n">
        <v>6</v>
      </c>
      <c r="O64" s="2" t="s">
        <v>26</v>
      </c>
      <c r="P64" s="2" t="s">
        <v>35</v>
      </c>
      <c r="Q64" s="2" t="s">
        <v>36</v>
      </c>
    </row>
    <row r="65" customFormat="false" ht="15" hidden="false" customHeight="false" outlineLevel="0" collapsed="false">
      <c r="A65" s="2" t="s">
        <v>150</v>
      </c>
      <c r="B65" s="3" t="n">
        <v>46227</v>
      </c>
      <c r="C65" s="2" t="s">
        <v>73</v>
      </c>
      <c r="D65" s="2" t="s">
        <v>19</v>
      </c>
      <c r="E65" s="2" t="s">
        <v>34</v>
      </c>
      <c r="F65" s="2" t="n">
        <v>4</v>
      </c>
      <c r="G65" s="2" t="n">
        <v>4</v>
      </c>
      <c r="H65" s="2" t="n">
        <v>3</v>
      </c>
      <c r="I65" s="2" t="n">
        <v>3</v>
      </c>
      <c r="J65" s="2" t="n">
        <v>4</v>
      </c>
      <c r="K65" s="2" t="n">
        <v>3</v>
      </c>
      <c r="L65" s="2" t="n">
        <v>2</v>
      </c>
      <c r="M65" s="2" t="n">
        <v>3</v>
      </c>
      <c r="N65" s="2" t="n">
        <v>6</v>
      </c>
      <c r="O65" s="2" t="s">
        <v>21</v>
      </c>
      <c r="P65" s="2" t="s">
        <v>35</v>
      </c>
      <c r="Q65" s="2" t="s">
        <v>48</v>
      </c>
    </row>
    <row r="66" customFormat="false" ht="15" hidden="false" customHeight="false" outlineLevel="0" collapsed="false">
      <c r="A66" s="2" t="s">
        <v>151</v>
      </c>
      <c r="B66" s="3" t="n">
        <v>46225</v>
      </c>
      <c r="C66" s="2" t="s">
        <v>152</v>
      </c>
      <c r="D66" s="2" t="s">
        <v>19</v>
      </c>
      <c r="E66" s="2" t="s">
        <v>20</v>
      </c>
      <c r="F66" s="2" t="n">
        <v>2</v>
      </c>
      <c r="G66" s="2" t="n">
        <v>2</v>
      </c>
      <c r="H66" s="2" t="n">
        <v>3</v>
      </c>
      <c r="I66" s="2" t="n">
        <v>2</v>
      </c>
      <c r="J66" s="2" t="n">
        <v>2</v>
      </c>
      <c r="K66" s="2" t="n">
        <v>1</v>
      </c>
      <c r="L66" s="2" t="n">
        <v>1</v>
      </c>
      <c r="M66" s="2" t="n">
        <v>1</v>
      </c>
      <c r="N66" s="2" t="n">
        <v>2</v>
      </c>
      <c r="O66" s="2" t="s">
        <v>21</v>
      </c>
      <c r="P66" s="2"/>
      <c r="Q66" s="2" t="s">
        <v>30</v>
      </c>
    </row>
    <row r="67" customFormat="false" ht="15" hidden="false" customHeight="false" outlineLevel="0" collapsed="false">
      <c r="A67" s="2" t="s">
        <v>153</v>
      </c>
      <c r="B67" s="3" t="n">
        <v>46210</v>
      </c>
      <c r="C67" s="2" t="s">
        <v>124</v>
      </c>
      <c r="D67" s="2" t="s">
        <v>19</v>
      </c>
      <c r="E67" s="2" t="s">
        <v>25</v>
      </c>
      <c r="F67" s="2" t="n">
        <v>3</v>
      </c>
      <c r="G67" s="2" t="n">
        <v>3</v>
      </c>
      <c r="H67" s="2" t="n">
        <v>2</v>
      </c>
      <c r="I67" s="2" t="n">
        <v>4</v>
      </c>
      <c r="J67" s="2" t="n">
        <v>2</v>
      </c>
      <c r="K67" s="2" t="n">
        <v>4</v>
      </c>
      <c r="L67" s="2" t="n">
        <v>2</v>
      </c>
      <c r="M67" s="2" t="n">
        <v>2</v>
      </c>
      <c r="N67" s="2" t="n">
        <v>3</v>
      </c>
      <c r="O67" s="2" t="s">
        <v>21</v>
      </c>
      <c r="P67" s="2"/>
      <c r="Q67" s="2" t="s">
        <v>59</v>
      </c>
    </row>
    <row r="68" customFormat="false" ht="15" hidden="false" customHeight="false" outlineLevel="0" collapsed="false">
      <c r="A68" s="2" t="s">
        <v>154</v>
      </c>
      <c r="B68" s="3" t="n">
        <v>46220</v>
      </c>
      <c r="C68" s="2" t="s">
        <v>142</v>
      </c>
      <c r="D68" s="2" t="s">
        <v>19</v>
      </c>
      <c r="E68" s="2" t="s">
        <v>39</v>
      </c>
      <c r="F68" s="2" t="n">
        <v>4</v>
      </c>
      <c r="G68" s="2" t="n">
        <v>3</v>
      </c>
      <c r="H68" s="2" t="n">
        <v>3</v>
      </c>
      <c r="I68" s="2" t="n">
        <v>4</v>
      </c>
      <c r="J68" s="2" t="n">
        <v>4</v>
      </c>
      <c r="K68" s="2" t="n">
        <v>3</v>
      </c>
      <c r="L68" s="2" t="n">
        <v>3</v>
      </c>
      <c r="M68" s="2" t="n">
        <v>3</v>
      </c>
      <c r="N68" s="2" t="n">
        <v>7</v>
      </c>
      <c r="O68" s="2" t="s">
        <v>21</v>
      </c>
      <c r="P68" s="2" t="s">
        <v>116</v>
      </c>
      <c r="Q68" s="2" t="s">
        <v>55</v>
      </c>
    </row>
    <row r="69" customFormat="false" ht="15" hidden="false" customHeight="false" outlineLevel="0" collapsed="false">
      <c r="A69" s="2" t="s">
        <v>155</v>
      </c>
      <c r="B69" s="3" t="n">
        <v>46221</v>
      </c>
      <c r="C69" s="2" t="s">
        <v>32</v>
      </c>
      <c r="D69" s="2" t="s">
        <v>33</v>
      </c>
      <c r="E69" s="2" t="s">
        <v>20</v>
      </c>
      <c r="F69" s="2" t="n">
        <v>4</v>
      </c>
      <c r="G69" s="2" t="n">
        <v>4</v>
      </c>
      <c r="H69" s="2" t="n">
        <v>3</v>
      </c>
      <c r="I69" s="2" t="n">
        <v>4</v>
      </c>
      <c r="J69" s="2" t="n">
        <v>3</v>
      </c>
      <c r="K69" s="2" t="n">
        <v>3</v>
      </c>
      <c r="L69" s="2" t="n">
        <v>3</v>
      </c>
      <c r="M69" s="2" t="n">
        <v>4</v>
      </c>
      <c r="N69" s="2" t="n">
        <v>6</v>
      </c>
      <c r="O69" s="2" t="s">
        <v>26</v>
      </c>
      <c r="P69" s="2" t="s">
        <v>78</v>
      </c>
      <c r="Q69" s="2" t="s">
        <v>30</v>
      </c>
    </row>
    <row r="70" customFormat="false" ht="15" hidden="false" customHeight="false" outlineLevel="0" collapsed="false">
      <c r="A70" s="2" t="s">
        <v>156</v>
      </c>
      <c r="B70" s="3" t="n">
        <v>46227</v>
      </c>
      <c r="C70" s="2" t="s">
        <v>62</v>
      </c>
      <c r="D70" s="2" t="s">
        <v>19</v>
      </c>
      <c r="E70" s="2" t="s">
        <v>39</v>
      </c>
      <c r="F70" s="2" t="n">
        <v>4</v>
      </c>
      <c r="G70" s="2" t="n">
        <v>4</v>
      </c>
      <c r="H70" s="2" t="n">
        <v>3</v>
      </c>
      <c r="I70" s="2" t="n">
        <v>3</v>
      </c>
      <c r="J70" s="2" t="n">
        <v>4</v>
      </c>
      <c r="K70" s="2" t="n">
        <v>4</v>
      </c>
      <c r="L70" s="2" t="n">
        <v>3</v>
      </c>
      <c r="M70" s="2" t="n">
        <v>5</v>
      </c>
      <c r="N70" s="2" t="n">
        <v>5</v>
      </c>
      <c r="O70" s="2" t="s">
        <v>26</v>
      </c>
      <c r="P70" s="2" t="s">
        <v>107</v>
      </c>
      <c r="Q70" s="2"/>
    </row>
    <row r="71" customFormat="false" ht="15" hidden="false" customHeight="false" outlineLevel="0" collapsed="false">
      <c r="A71" s="2" t="s">
        <v>157</v>
      </c>
      <c r="B71" s="3" t="n">
        <v>46214</v>
      </c>
      <c r="C71" s="2" t="s">
        <v>50</v>
      </c>
      <c r="D71" s="2" t="s">
        <v>19</v>
      </c>
      <c r="E71" s="2" t="s">
        <v>39</v>
      </c>
      <c r="F71" s="2" t="n">
        <v>3</v>
      </c>
      <c r="G71" s="2" t="n">
        <v>2</v>
      </c>
      <c r="H71" s="2" t="n">
        <v>3</v>
      </c>
      <c r="I71" s="2" t="n">
        <v>3</v>
      </c>
      <c r="J71" s="2" t="n">
        <v>4</v>
      </c>
      <c r="K71" s="2" t="n">
        <v>3</v>
      </c>
      <c r="L71" s="2" t="n">
        <v>2</v>
      </c>
      <c r="M71" s="2" t="n">
        <v>3</v>
      </c>
      <c r="N71" s="2" t="n">
        <v>4</v>
      </c>
      <c r="O71" s="2" t="s">
        <v>21</v>
      </c>
      <c r="P71" s="2" t="s">
        <v>69</v>
      </c>
      <c r="Q71" s="2" t="s">
        <v>30</v>
      </c>
    </row>
    <row r="72" customFormat="false" ht="15" hidden="false" customHeight="false" outlineLevel="0" collapsed="false">
      <c r="A72" s="2" t="s">
        <v>158</v>
      </c>
      <c r="B72" s="3" t="n">
        <v>46226</v>
      </c>
      <c r="C72" s="2" t="s">
        <v>83</v>
      </c>
      <c r="D72" s="2" t="s">
        <v>19</v>
      </c>
      <c r="E72" s="2" t="s">
        <v>20</v>
      </c>
      <c r="F72" s="2" t="n">
        <v>2</v>
      </c>
      <c r="G72" s="2" t="n">
        <v>4</v>
      </c>
      <c r="H72" s="2" t="n">
        <v>3</v>
      </c>
      <c r="I72" s="2" t="n">
        <v>3</v>
      </c>
      <c r="J72" s="2" t="n">
        <v>3</v>
      </c>
      <c r="K72" s="2" t="n">
        <v>2</v>
      </c>
      <c r="L72" s="2" t="n">
        <v>3</v>
      </c>
      <c r="M72" s="2" t="n">
        <v>3</v>
      </c>
      <c r="N72" s="2" t="n">
        <v>4</v>
      </c>
      <c r="O72" s="2" t="s">
        <v>21</v>
      </c>
      <c r="P72" s="2"/>
      <c r="Q72" s="2" t="s">
        <v>108</v>
      </c>
    </row>
    <row r="73" customFormat="false" ht="15" hidden="false" customHeight="false" outlineLevel="0" collapsed="false">
      <c r="A73" s="2" t="s">
        <v>159</v>
      </c>
      <c r="B73" s="3" t="n">
        <v>46209</v>
      </c>
      <c r="C73" s="2" t="s">
        <v>24</v>
      </c>
      <c r="D73" s="2" t="s">
        <v>19</v>
      </c>
      <c r="E73" s="2" t="s">
        <v>25</v>
      </c>
      <c r="F73" s="2" t="n">
        <v>3</v>
      </c>
      <c r="G73" s="2" t="n">
        <v>4</v>
      </c>
      <c r="H73" s="2" t="n">
        <v>2</v>
      </c>
      <c r="I73" s="2" t="n">
        <v>3</v>
      </c>
      <c r="J73" s="2" t="n">
        <v>3</v>
      </c>
      <c r="K73" s="2" t="n">
        <v>2</v>
      </c>
      <c r="L73" s="2" t="n">
        <v>1</v>
      </c>
      <c r="M73" s="2" t="n">
        <v>2</v>
      </c>
      <c r="N73" s="2" t="n">
        <v>6</v>
      </c>
      <c r="O73" s="2" t="s">
        <v>26</v>
      </c>
      <c r="P73" s="2"/>
      <c r="Q73" s="2" t="s">
        <v>27</v>
      </c>
    </row>
    <row r="74" customFormat="false" ht="15" hidden="false" customHeight="false" outlineLevel="0" collapsed="false">
      <c r="A74" s="2" t="s">
        <v>160</v>
      </c>
      <c r="B74" s="3" t="n">
        <v>46227</v>
      </c>
      <c r="C74" s="2" t="s">
        <v>87</v>
      </c>
      <c r="D74" s="2" t="s">
        <v>19</v>
      </c>
      <c r="E74" s="2" t="s">
        <v>25</v>
      </c>
      <c r="F74" s="2" t="n">
        <v>4</v>
      </c>
      <c r="G74" s="2" t="n">
        <v>3</v>
      </c>
      <c r="H74" s="2" t="n">
        <v>4</v>
      </c>
      <c r="I74" s="2" t="n">
        <v>2</v>
      </c>
      <c r="J74" s="2" t="n">
        <v>3</v>
      </c>
      <c r="K74" s="2" t="n">
        <v>3</v>
      </c>
      <c r="L74" s="2" t="n">
        <v>1</v>
      </c>
      <c r="M74" s="2" t="n">
        <v>3</v>
      </c>
      <c r="N74" s="2" t="n">
        <v>7</v>
      </c>
      <c r="O74" s="2" t="s">
        <v>21</v>
      </c>
      <c r="P74" s="2"/>
      <c r="Q74" s="2" t="s">
        <v>94</v>
      </c>
    </row>
    <row r="75" customFormat="false" ht="15" hidden="false" customHeight="false" outlineLevel="0" collapsed="false">
      <c r="A75" s="2" t="s">
        <v>161</v>
      </c>
      <c r="B75" s="3" t="n">
        <v>46216</v>
      </c>
      <c r="C75" s="2" t="s">
        <v>83</v>
      </c>
      <c r="D75" s="2" t="s">
        <v>19</v>
      </c>
      <c r="E75" s="2" t="s">
        <v>25</v>
      </c>
      <c r="F75" s="2" t="n">
        <v>3</v>
      </c>
      <c r="G75" s="2" t="n">
        <v>4</v>
      </c>
      <c r="H75" s="2" t="n">
        <v>3</v>
      </c>
      <c r="I75" s="2" t="n">
        <v>4</v>
      </c>
      <c r="J75" s="2" t="n">
        <v>3</v>
      </c>
      <c r="K75" s="2" t="n">
        <v>3</v>
      </c>
      <c r="L75" s="2" t="n">
        <v>2</v>
      </c>
      <c r="M75" s="2" t="n">
        <v>4</v>
      </c>
      <c r="N75" s="2" t="n">
        <v>6</v>
      </c>
      <c r="O75" s="2" t="s">
        <v>21</v>
      </c>
      <c r="P75" s="2" t="s">
        <v>78</v>
      </c>
      <c r="Q75" s="2" t="s">
        <v>94</v>
      </c>
    </row>
    <row r="76" customFormat="false" ht="15" hidden="false" customHeight="false" outlineLevel="0" collapsed="false">
      <c r="A76" s="2" t="s">
        <v>162</v>
      </c>
      <c r="B76" s="3" t="n">
        <v>46221</v>
      </c>
      <c r="C76" s="2" t="s">
        <v>45</v>
      </c>
      <c r="D76" s="2" t="s">
        <v>19</v>
      </c>
      <c r="E76" s="2" t="s">
        <v>25</v>
      </c>
      <c r="F76" s="2" t="n">
        <v>3</v>
      </c>
      <c r="G76" s="2" t="n">
        <v>3</v>
      </c>
      <c r="H76" s="2" t="n">
        <v>3</v>
      </c>
      <c r="I76" s="2" t="n">
        <v>2</v>
      </c>
      <c r="J76" s="2" t="n">
        <v>2</v>
      </c>
      <c r="K76" s="2" t="n">
        <v>2</v>
      </c>
      <c r="L76" s="2" t="n">
        <v>1</v>
      </c>
      <c r="M76" s="2" t="n">
        <v>2</v>
      </c>
      <c r="N76" s="2" t="n">
        <v>3</v>
      </c>
      <c r="O76" s="2" t="s">
        <v>26</v>
      </c>
      <c r="P76" s="2"/>
      <c r="Q76" s="2" t="s">
        <v>94</v>
      </c>
    </row>
    <row r="77" customFormat="false" ht="15" hidden="false" customHeight="false" outlineLevel="0" collapsed="false">
      <c r="A77" s="2" t="s">
        <v>163</v>
      </c>
      <c r="B77" s="3" t="n">
        <v>46215</v>
      </c>
      <c r="C77" s="2" t="s">
        <v>164</v>
      </c>
      <c r="D77" s="2" t="s">
        <v>19</v>
      </c>
      <c r="E77" s="2" t="s">
        <v>25</v>
      </c>
      <c r="F77" s="2" t="n">
        <v>5</v>
      </c>
      <c r="G77" s="2" t="n">
        <v>3</v>
      </c>
      <c r="H77" s="2" t="n">
        <v>3</v>
      </c>
      <c r="I77" s="2" t="n">
        <v>3</v>
      </c>
      <c r="J77" s="2" t="n">
        <v>3</v>
      </c>
      <c r="K77" s="2" t="n">
        <v>3</v>
      </c>
      <c r="L77" s="2" t="n">
        <v>3</v>
      </c>
      <c r="M77" s="2" t="n">
        <v>4</v>
      </c>
      <c r="N77" s="2" t="n">
        <v>5</v>
      </c>
      <c r="O77" s="2" t="s">
        <v>26</v>
      </c>
      <c r="P77" s="2" t="s">
        <v>51</v>
      </c>
      <c r="Q77" s="2" t="s">
        <v>85</v>
      </c>
    </row>
    <row r="78" customFormat="false" ht="15" hidden="false" customHeight="false" outlineLevel="0" collapsed="false">
      <c r="A78" s="2" t="s">
        <v>165</v>
      </c>
      <c r="B78" s="3" t="n">
        <v>46224</v>
      </c>
      <c r="C78" s="2" t="s">
        <v>67</v>
      </c>
      <c r="D78" s="2" t="s">
        <v>19</v>
      </c>
      <c r="E78" s="2" t="s">
        <v>25</v>
      </c>
      <c r="F78" s="2" t="n">
        <v>4</v>
      </c>
      <c r="G78" s="2" t="n">
        <v>3</v>
      </c>
      <c r="H78" s="2" t="n">
        <v>4</v>
      </c>
      <c r="I78" s="2" t="n">
        <v>3</v>
      </c>
      <c r="J78" s="2" t="n">
        <v>3</v>
      </c>
      <c r="K78" s="2" t="n">
        <v>3</v>
      </c>
      <c r="L78" s="2" t="n">
        <v>3</v>
      </c>
      <c r="M78" s="2" t="n">
        <v>3</v>
      </c>
      <c r="N78" s="2" t="n">
        <v>8</v>
      </c>
      <c r="O78" s="2" t="s">
        <v>26</v>
      </c>
      <c r="P78" s="2" t="s">
        <v>51</v>
      </c>
      <c r="Q78" s="2" t="s">
        <v>27</v>
      </c>
    </row>
    <row r="79" customFormat="false" ht="15" hidden="false" customHeight="false" outlineLevel="0" collapsed="false">
      <c r="A79" s="2" t="s">
        <v>166</v>
      </c>
      <c r="B79" s="3" t="n">
        <v>46210</v>
      </c>
      <c r="C79" s="2" t="s">
        <v>144</v>
      </c>
      <c r="D79" s="2" t="s">
        <v>19</v>
      </c>
      <c r="E79" s="2" t="s">
        <v>25</v>
      </c>
      <c r="F79" s="2" t="n">
        <v>3</v>
      </c>
      <c r="G79" s="2" t="n">
        <v>3</v>
      </c>
      <c r="H79" s="2" t="n">
        <v>3</v>
      </c>
      <c r="I79" s="2" t="n">
        <v>2</v>
      </c>
      <c r="J79" s="2" t="n">
        <v>2</v>
      </c>
      <c r="K79" s="2" t="n">
        <v>2</v>
      </c>
      <c r="L79" s="2" t="n">
        <v>1</v>
      </c>
      <c r="M79" s="2" t="n">
        <v>4</v>
      </c>
      <c r="N79" s="2" t="n">
        <v>3</v>
      </c>
      <c r="O79" s="2" t="s">
        <v>26</v>
      </c>
      <c r="P79" s="2"/>
      <c r="Q79" s="2" t="s">
        <v>108</v>
      </c>
    </row>
    <row r="80" customFormat="false" ht="15" hidden="false" customHeight="false" outlineLevel="0" collapsed="false">
      <c r="A80" s="2" t="s">
        <v>167</v>
      </c>
      <c r="B80" s="3" t="n">
        <v>46221</v>
      </c>
      <c r="C80" s="2" t="s">
        <v>64</v>
      </c>
      <c r="D80" s="2" t="s">
        <v>19</v>
      </c>
      <c r="E80" s="2" t="s">
        <v>20</v>
      </c>
      <c r="F80" s="2" t="n">
        <v>2</v>
      </c>
      <c r="G80" s="2" t="n">
        <v>1</v>
      </c>
      <c r="H80" s="2" t="n">
        <v>2</v>
      </c>
      <c r="I80" s="2" t="n">
        <v>1</v>
      </c>
      <c r="J80" s="2" t="n">
        <v>2</v>
      </c>
      <c r="K80" s="2" t="n">
        <v>1</v>
      </c>
      <c r="L80" s="2" t="n">
        <v>1</v>
      </c>
      <c r="M80" s="2" t="n">
        <v>3</v>
      </c>
      <c r="N80" s="2" t="n">
        <v>1</v>
      </c>
      <c r="O80" s="2" t="s">
        <v>21</v>
      </c>
      <c r="P80" s="2" t="s">
        <v>81</v>
      </c>
      <c r="Q80" s="2" t="s">
        <v>55</v>
      </c>
    </row>
    <row r="81" customFormat="false" ht="15" hidden="false" customHeight="false" outlineLevel="0" collapsed="false">
      <c r="A81" s="2" t="s">
        <v>168</v>
      </c>
      <c r="B81" s="3" t="n">
        <v>46222</v>
      </c>
      <c r="C81" s="2" t="s">
        <v>83</v>
      </c>
      <c r="D81" s="2" t="s">
        <v>19</v>
      </c>
      <c r="E81" s="2" t="s">
        <v>34</v>
      </c>
      <c r="F81" s="2" t="n">
        <v>4</v>
      </c>
      <c r="G81" s="2" t="n">
        <v>4</v>
      </c>
      <c r="H81" s="2" t="n">
        <v>3</v>
      </c>
      <c r="I81" s="2" t="n">
        <v>4</v>
      </c>
      <c r="J81" s="2" t="n">
        <v>4</v>
      </c>
      <c r="K81" s="2" t="n">
        <v>4</v>
      </c>
      <c r="L81" s="2" t="n">
        <v>3</v>
      </c>
      <c r="M81" s="2" t="n">
        <v>4</v>
      </c>
      <c r="N81" s="2" t="n">
        <v>6</v>
      </c>
      <c r="O81" s="2" t="s">
        <v>26</v>
      </c>
      <c r="P81" s="2" t="s">
        <v>107</v>
      </c>
      <c r="Q81" s="2" t="s">
        <v>59</v>
      </c>
    </row>
    <row r="82" customFormat="false" ht="15" hidden="false" customHeight="false" outlineLevel="0" collapsed="false">
      <c r="A82" s="2" t="s">
        <v>169</v>
      </c>
      <c r="B82" s="3" t="n">
        <v>46210</v>
      </c>
      <c r="C82" s="2" t="s">
        <v>45</v>
      </c>
      <c r="D82" s="2" t="s">
        <v>19</v>
      </c>
      <c r="E82" s="2" t="s">
        <v>25</v>
      </c>
      <c r="F82" s="2" t="n">
        <v>3</v>
      </c>
      <c r="G82" s="2" t="n">
        <v>2</v>
      </c>
      <c r="H82" s="2" t="n">
        <v>1</v>
      </c>
      <c r="I82" s="2" t="n">
        <v>3</v>
      </c>
      <c r="J82" s="2" t="n">
        <v>2</v>
      </c>
      <c r="K82" s="2" t="n">
        <v>1</v>
      </c>
      <c r="L82" s="2" t="n">
        <v>1</v>
      </c>
      <c r="M82" s="2" t="n">
        <v>2</v>
      </c>
      <c r="N82" s="2" t="n">
        <v>4</v>
      </c>
      <c r="O82" s="2" t="s">
        <v>26</v>
      </c>
      <c r="P82" s="2"/>
      <c r="Q82" s="2" t="s">
        <v>30</v>
      </c>
    </row>
    <row r="83" customFormat="false" ht="15" hidden="false" customHeight="false" outlineLevel="0" collapsed="false">
      <c r="A83" s="2" t="s">
        <v>170</v>
      </c>
      <c r="B83" s="3" t="n">
        <v>46218</v>
      </c>
      <c r="C83" s="2" t="s">
        <v>100</v>
      </c>
      <c r="D83" s="2" t="s">
        <v>19</v>
      </c>
      <c r="E83" s="2" t="s">
        <v>39</v>
      </c>
      <c r="F83" s="2" t="n">
        <v>4</v>
      </c>
      <c r="G83" s="2" t="n">
        <v>3</v>
      </c>
      <c r="H83" s="2" t="n">
        <v>3</v>
      </c>
      <c r="I83" s="2" t="n">
        <v>3</v>
      </c>
      <c r="J83" s="2" t="n">
        <v>4</v>
      </c>
      <c r="K83" s="2" t="n">
        <v>3</v>
      </c>
      <c r="L83" s="2" t="n">
        <v>4</v>
      </c>
      <c r="M83" s="2" t="n">
        <v>3</v>
      </c>
      <c r="N83" s="2" t="n">
        <v>5</v>
      </c>
      <c r="O83" s="2" t="s">
        <v>26</v>
      </c>
      <c r="P83" s="2" t="s">
        <v>116</v>
      </c>
      <c r="Q83" s="2" t="s">
        <v>43</v>
      </c>
    </row>
    <row r="84" customFormat="false" ht="15" hidden="false" customHeight="false" outlineLevel="0" collapsed="false">
      <c r="A84" s="2" t="s">
        <v>171</v>
      </c>
      <c r="B84" s="3" t="n">
        <v>46224</v>
      </c>
      <c r="C84" s="2" t="s">
        <v>45</v>
      </c>
      <c r="D84" s="2" t="s">
        <v>19</v>
      </c>
      <c r="E84" s="2" t="s">
        <v>39</v>
      </c>
      <c r="F84" s="2" t="n">
        <v>4</v>
      </c>
      <c r="G84" s="2" t="n">
        <v>4</v>
      </c>
      <c r="H84" s="2" t="n">
        <v>3</v>
      </c>
      <c r="I84" s="2" t="n">
        <v>4</v>
      </c>
      <c r="J84" s="2" t="n">
        <v>5</v>
      </c>
      <c r="K84" s="2" t="n">
        <v>3</v>
      </c>
      <c r="L84" s="2" t="n">
        <v>3</v>
      </c>
      <c r="M84" s="2" t="n">
        <v>3</v>
      </c>
      <c r="N84" s="2" t="n">
        <v>6</v>
      </c>
      <c r="O84" s="2" t="s">
        <v>26</v>
      </c>
      <c r="P84" s="2" t="s">
        <v>172</v>
      </c>
      <c r="Q84" s="2"/>
    </row>
    <row r="85" customFormat="false" ht="15" hidden="false" customHeight="false" outlineLevel="0" collapsed="false">
      <c r="A85" s="2" t="s">
        <v>173</v>
      </c>
      <c r="B85" s="3" t="n">
        <v>46214</v>
      </c>
      <c r="C85" s="2" t="s">
        <v>106</v>
      </c>
      <c r="D85" s="2" t="s">
        <v>19</v>
      </c>
      <c r="E85" s="2" t="s">
        <v>25</v>
      </c>
      <c r="F85" s="2" t="n">
        <v>2</v>
      </c>
      <c r="G85" s="2" t="n">
        <v>3</v>
      </c>
      <c r="H85" s="2" t="n">
        <v>3</v>
      </c>
      <c r="I85" s="2" t="n">
        <v>3</v>
      </c>
      <c r="J85" s="2" t="n">
        <v>3</v>
      </c>
      <c r="K85" s="2" t="n">
        <v>4</v>
      </c>
      <c r="L85" s="2" t="n">
        <v>1</v>
      </c>
      <c r="M85" s="2" t="n">
        <v>3</v>
      </c>
      <c r="N85" s="2" t="n">
        <v>6</v>
      </c>
      <c r="O85" s="2" t="s">
        <v>21</v>
      </c>
      <c r="P85" s="2"/>
      <c r="Q85" s="2" t="s">
        <v>27</v>
      </c>
    </row>
    <row r="86" customFormat="false" ht="15" hidden="false" customHeight="false" outlineLevel="0" collapsed="false">
      <c r="A86" s="2" t="s">
        <v>174</v>
      </c>
      <c r="B86" s="3" t="n">
        <v>46219</v>
      </c>
      <c r="C86" s="2" t="s">
        <v>83</v>
      </c>
      <c r="D86" s="2" t="s">
        <v>19</v>
      </c>
      <c r="E86" s="2" t="s">
        <v>25</v>
      </c>
      <c r="F86" s="2" t="n">
        <v>4</v>
      </c>
      <c r="G86" s="2" t="n">
        <v>4</v>
      </c>
      <c r="H86" s="2" t="n">
        <v>3</v>
      </c>
      <c r="I86" s="2" t="n">
        <v>3</v>
      </c>
      <c r="J86" s="2" t="n">
        <v>5</v>
      </c>
      <c r="K86" s="2" t="n">
        <v>3</v>
      </c>
      <c r="L86" s="2" t="n">
        <v>3</v>
      </c>
      <c r="M86" s="2" t="n">
        <v>3</v>
      </c>
      <c r="N86" s="2" t="n">
        <v>7</v>
      </c>
      <c r="O86" s="2" t="s">
        <v>21</v>
      </c>
      <c r="P86" s="2" t="s">
        <v>116</v>
      </c>
      <c r="Q86" s="2" t="s">
        <v>27</v>
      </c>
    </row>
    <row r="87" customFormat="false" ht="15" hidden="false" customHeight="false" outlineLevel="0" collapsed="false">
      <c r="A87" s="2" t="s">
        <v>175</v>
      </c>
      <c r="B87" s="3" t="n">
        <v>46211</v>
      </c>
      <c r="C87" s="2" t="s">
        <v>130</v>
      </c>
      <c r="D87" s="2" t="s">
        <v>33</v>
      </c>
      <c r="E87" s="2" t="s">
        <v>39</v>
      </c>
      <c r="F87" s="2" t="n">
        <v>3</v>
      </c>
      <c r="G87" s="2" t="n">
        <v>4</v>
      </c>
      <c r="H87" s="2" t="n">
        <v>3</v>
      </c>
      <c r="I87" s="2" t="n">
        <v>3</v>
      </c>
      <c r="J87" s="2" t="n">
        <v>3</v>
      </c>
      <c r="K87" s="2" t="n">
        <v>2</v>
      </c>
      <c r="L87" s="2" t="n">
        <v>2</v>
      </c>
      <c r="M87" s="2" t="n">
        <v>4</v>
      </c>
      <c r="N87" s="2" t="n">
        <v>6</v>
      </c>
      <c r="O87" s="2" t="s">
        <v>26</v>
      </c>
      <c r="P87" s="2" t="s">
        <v>78</v>
      </c>
      <c r="Q87" s="2" t="s">
        <v>36</v>
      </c>
    </row>
    <row r="88" customFormat="false" ht="15" hidden="false" customHeight="false" outlineLevel="0" collapsed="false">
      <c r="A88" s="2" t="s">
        <v>176</v>
      </c>
      <c r="B88" s="3" t="n">
        <v>46226</v>
      </c>
      <c r="C88" s="2" t="s">
        <v>177</v>
      </c>
      <c r="D88" s="2" t="s">
        <v>19</v>
      </c>
      <c r="E88" s="2" t="s">
        <v>20</v>
      </c>
      <c r="F88" s="2" t="n">
        <v>5</v>
      </c>
      <c r="G88" s="2" t="n">
        <v>5</v>
      </c>
      <c r="H88" s="2" t="n">
        <v>4</v>
      </c>
      <c r="I88" s="2" t="n">
        <v>4</v>
      </c>
      <c r="J88" s="2" t="n">
        <v>5</v>
      </c>
      <c r="K88" s="2" t="n">
        <v>4</v>
      </c>
      <c r="L88" s="2" t="n">
        <v>3</v>
      </c>
      <c r="M88" s="2" t="n">
        <v>4</v>
      </c>
      <c r="N88" s="2" t="n">
        <v>8</v>
      </c>
      <c r="O88" s="2" t="s">
        <v>21</v>
      </c>
      <c r="P88" s="2" t="s">
        <v>71</v>
      </c>
      <c r="Q88" s="2" t="s">
        <v>30</v>
      </c>
    </row>
    <row r="89" customFormat="false" ht="15" hidden="false" customHeight="false" outlineLevel="0" collapsed="false">
      <c r="A89" s="2" t="s">
        <v>178</v>
      </c>
      <c r="B89" s="3" t="n">
        <v>46215</v>
      </c>
      <c r="C89" s="2" t="s">
        <v>135</v>
      </c>
      <c r="D89" s="2" t="s">
        <v>179</v>
      </c>
      <c r="E89" s="2" t="s">
        <v>34</v>
      </c>
      <c r="F89" s="2" t="n">
        <v>3</v>
      </c>
      <c r="G89" s="2" t="n">
        <v>2</v>
      </c>
      <c r="H89" s="2" t="n">
        <v>2</v>
      </c>
      <c r="I89" s="2" t="n">
        <v>3</v>
      </c>
      <c r="J89" s="2" t="n">
        <v>1</v>
      </c>
      <c r="K89" s="2" t="n">
        <v>1</v>
      </c>
      <c r="L89" s="2" t="n">
        <v>3</v>
      </c>
      <c r="M89" s="2" t="n">
        <v>3</v>
      </c>
      <c r="N89" s="2" t="n">
        <v>4</v>
      </c>
      <c r="O89" s="2" t="s">
        <v>21</v>
      </c>
      <c r="P89" s="2"/>
      <c r="Q89" s="2" t="s">
        <v>85</v>
      </c>
    </row>
    <row r="90" customFormat="false" ht="15" hidden="false" customHeight="false" outlineLevel="0" collapsed="false">
      <c r="A90" s="2" t="s">
        <v>180</v>
      </c>
      <c r="B90" s="3" t="n">
        <v>46223</v>
      </c>
      <c r="C90" s="2" t="s">
        <v>73</v>
      </c>
      <c r="D90" s="2" t="s">
        <v>19</v>
      </c>
      <c r="E90" s="2" t="s">
        <v>34</v>
      </c>
      <c r="F90" s="2" t="n">
        <v>4</v>
      </c>
      <c r="G90" s="2" t="n">
        <v>4</v>
      </c>
      <c r="H90" s="2" t="n">
        <v>4</v>
      </c>
      <c r="I90" s="2" t="n">
        <v>3</v>
      </c>
      <c r="J90" s="2" t="n">
        <v>5</v>
      </c>
      <c r="K90" s="2" t="n">
        <v>2</v>
      </c>
      <c r="L90" s="2" t="n">
        <v>3</v>
      </c>
      <c r="M90" s="2" t="n">
        <v>3</v>
      </c>
      <c r="N90" s="2" t="n">
        <v>6</v>
      </c>
      <c r="O90" s="2" t="s">
        <v>26</v>
      </c>
      <c r="P90" s="2" t="s">
        <v>51</v>
      </c>
      <c r="Q90" s="2" t="s">
        <v>36</v>
      </c>
    </row>
    <row r="91" customFormat="false" ht="15" hidden="false" customHeight="false" outlineLevel="0" collapsed="false">
      <c r="A91" s="2" t="s">
        <v>181</v>
      </c>
      <c r="B91" s="3" t="n">
        <v>46213</v>
      </c>
      <c r="C91" s="2" t="s">
        <v>182</v>
      </c>
      <c r="D91" s="2" t="s">
        <v>19</v>
      </c>
      <c r="E91" s="2" t="s">
        <v>39</v>
      </c>
      <c r="F91" s="2" t="n">
        <v>5</v>
      </c>
      <c r="G91" s="2" t="n">
        <v>2</v>
      </c>
      <c r="H91" s="2" t="n">
        <v>4</v>
      </c>
      <c r="I91" s="2" t="n">
        <v>3</v>
      </c>
      <c r="J91" s="2" t="n">
        <v>3</v>
      </c>
      <c r="K91" s="2" t="n">
        <v>3</v>
      </c>
      <c r="L91" s="2" t="n">
        <v>2</v>
      </c>
      <c r="M91" s="2" t="n">
        <v>2</v>
      </c>
      <c r="N91" s="2" t="n">
        <v>5</v>
      </c>
      <c r="O91" s="2" t="s">
        <v>26</v>
      </c>
      <c r="P91" s="2" t="s">
        <v>35</v>
      </c>
      <c r="Q91" s="2" t="s">
        <v>65</v>
      </c>
    </row>
    <row r="92" customFormat="false" ht="15" hidden="false" customHeight="false" outlineLevel="0" collapsed="false">
      <c r="A92" s="2" t="s">
        <v>183</v>
      </c>
      <c r="B92" s="3" t="n">
        <v>46227</v>
      </c>
      <c r="C92" s="2" t="s">
        <v>113</v>
      </c>
      <c r="D92" s="2" t="s">
        <v>19</v>
      </c>
      <c r="E92" s="2" t="s">
        <v>25</v>
      </c>
      <c r="F92" s="2" t="n">
        <v>3</v>
      </c>
      <c r="G92" s="2" t="n">
        <v>1</v>
      </c>
      <c r="H92" s="2" t="n">
        <v>2</v>
      </c>
      <c r="I92" s="2" t="n">
        <v>2</v>
      </c>
      <c r="J92" s="2" t="n">
        <v>2</v>
      </c>
      <c r="K92" s="2" t="n">
        <v>1</v>
      </c>
      <c r="L92" s="2" t="n">
        <v>1</v>
      </c>
      <c r="M92" s="2" t="n">
        <v>2</v>
      </c>
      <c r="N92" s="2" t="n">
        <v>4</v>
      </c>
      <c r="O92" s="2" t="s">
        <v>26</v>
      </c>
      <c r="P92" s="2"/>
      <c r="Q92" s="2" t="s">
        <v>30</v>
      </c>
    </row>
    <row r="93" customFormat="false" ht="15" hidden="false" customHeight="false" outlineLevel="0" collapsed="false">
      <c r="A93" s="2" t="s">
        <v>184</v>
      </c>
      <c r="B93" s="3" t="n">
        <v>46211</v>
      </c>
      <c r="C93" s="2" t="s">
        <v>185</v>
      </c>
      <c r="D93" s="2" t="s">
        <v>19</v>
      </c>
      <c r="E93" s="2" t="s">
        <v>39</v>
      </c>
      <c r="F93" s="2" t="n">
        <v>3</v>
      </c>
      <c r="G93" s="2" t="n">
        <v>5</v>
      </c>
      <c r="H93" s="2" t="n">
        <v>2</v>
      </c>
      <c r="I93" s="2" t="n">
        <v>3</v>
      </c>
      <c r="J93" s="2" t="n">
        <v>3</v>
      </c>
      <c r="K93" s="2" t="n">
        <v>2</v>
      </c>
      <c r="L93" s="2" t="n">
        <v>5</v>
      </c>
      <c r="M93" s="2" t="n">
        <v>3</v>
      </c>
      <c r="N93" s="2" t="n">
        <v>6</v>
      </c>
      <c r="O93" s="2" t="s">
        <v>21</v>
      </c>
      <c r="P93" s="2" t="s">
        <v>116</v>
      </c>
      <c r="Q93" s="2" t="s">
        <v>36</v>
      </c>
    </row>
    <row r="94" customFormat="false" ht="15" hidden="false" customHeight="false" outlineLevel="0" collapsed="false">
      <c r="A94" s="2" t="s">
        <v>186</v>
      </c>
      <c r="B94" s="3" t="n">
        <v>46217</v>
      </c>
      <c r="C94" s="2" t="s">
        <v>144</v>
      </c>
      <c r="D94" s="2" t="s">
        <v>115</v>
      </c>
      <c r="E94" s="2" t="s">
        <v>39</v>
      </c>
      <c r="F94" s="2" t="n">
        <v>3</v>
      </c>
      <c r="G94" s="2" t="n">
        <v>3</v>
      </c>
      <c r="H94" s="2" t="n">
        <v>3</v>
      </c>
      <c r="I94" s="2" t="n">
        <v>3</v>
      </c>
      <c r="J94" s="2" t="n">
        <v>3</v>
      </c>
      <c r="K94" s="2" t="n">
        <v>3</v>
      </c>
      <c r="L94" s="2" t="n">
        <v>4</v>
      </c>
      <c r="M94" s="2" t="n">
        <v>3</v>
      </c>
      <c r="N94" s="2" t="n">
        <v>6</v>
      </c>
      <c r="O94" s="2" t="s">
        <v>21</v>
      </c>
      <c r="P94" s="2" t="s">
        <v>116</v>
      </c>
      <c r="Q94" s="2" t="s">
        <v>43</v>
      </c>
    </row>
    <row r="95" customFormat="false" ht="15" hidden="false" customHeight="false" outlineLevel="0" collapsed="false">
      <c r="A95" s="2" t="s">
        <v>187</v>
      </c>
      <c r="B95" s="3" t="n">
        <v>46210</v>
      </c>
      <c r="C95" s="2" t="s">
        <v>188</v>
      </c>
      <c r="D95" s="2" t="s">
        <v>19</v>
      </c>
      <c r="E95" s="2" t="s">
        <v>20</v>
      </c>
      <c r="F95" s="2" t="n">
        <v>2</v>
      </c>
      <c r="G95" s="2" t="n">
        <v>3</v>
      </c>
      <c r="H95" s="2" t="n">
        <v>3</v>
      </c>
      <c r="I95" s="2" t="n">
        <v>3</v>
      </c>
      <c r="J95" s="2" t="n">
        <v>5</v>
      </c>
      <c r="K95" s="2" t="n">
        <v>3</v>
      </c>
      <c r="L95" s="2" t="n">
        <v>2</v>
      </c>
      <c r="M95" s="2" t="n">
        <v>3</v>
      </c>
      <c r="N95" s="2" t="n">
        <v>3</v>
      </c>
      <c r="O95" s="2" t="s">
        <v>21</v>
      </c>
      <c r="P95" s="2" t="s">
        <v>51</v>
      </c>
      <c r="Q95" s="2" t="s">
        <v>30</v>
      </c>
    </row>
    <row r="96" customFormat="false" ht="15" hidden="false" customHeight="false" outlineLevel="0" collapsed="false">
      <c r="A96" s="2" t="s">
        <v>189</v>
      </c>
      <c r="B96" s="3" t="n">
        <v>46219</v>
      </c>
      <c r="C96" s="2" t="s">
        <v>80</v>
      </c>
      <c r="D96" s="2" t="s">
        <v>19</v>
      </c>
      <c r="E96" s="2" t="s">
        <v>20</v>
      </c>
      <c r="F96" s="2" t="n">
        <v>5</v>
      </c>
      <c r="G96" s="2" t="n">
        <v>4</v>
      </c>
      <c r="H96" s="2" t="n">
        <v>3</v>
      </c>
      <c r="I96" s="2" t="n">
        <v>5</v>
      </c>
      <c r="J96" s="2" t="n">
        <v>5</v>
      </c>
      <c r="K96" s="2" t="n">
        <v>3</v>
      </c>
      <c r="L96" s="2" t="n">
        <v>5</v>
      </c>
      <c r="M96" s="2" t="n">
        <v>4</v>
      </c>
      <c r="N96" s="2" t="n">
        <v>6</v>
      </c>
      <c r="O96" s="2" t="s">
        <v>26</v>
      </c>
      <c r="P96" s="2" t="s">
        <v>81</v>
      </c>
      <c r="Q96" s="2"/>
    </row>
    <row r="97" customFormat="false" ht="15" hidden="false" customHeight="false" outlineLevel="0" collapsed="false">
      <c r="A97" s="2" t="s">
        <v>190</v>
      </c>
      <c r="B97" s="3" t="n">
        <v>46210</v>
      </c>
      <c r="C97" s="2" t="s">
        <v>38</v>
      </c>
      <c r="D97" s="2" t="s">
        <v>19</v>
      </c>
      <c r="E97" s="2" t="s">
        <v>25</v>
      </c>
      <c r="F97" s="2" t="n">
        <v>2</v>
      </c>
      <c r="G97" s="2" t="n">
        <v>2</v>
      </c>
      <c r="H97" s="2" t="n">
        <v>1</v>
      </c>
      <c r="I97" s="2" t="n">
        <v>1</v>
      </c>
      <c r="J97" s="2" t="n">
        <v>1</v>
      </c>
      <c r="K97" s="2" t="n">
        <v>2</v>
      </c>
      <c r="L97" s="2" t="n">
        <v>1</v>
      </c>
      <c r="M97" s="2" t="n">
        <v>2</v>
      </c>
      <c r="N97" s="2" t="n">
        <v>1</v>
      </c>
      <c r="O97" s="2" t="s">
        <v>21</v>
      </c>
      <c r="P97" s="2"/>
      <c r="Q97" s="2" t="s">
        <v>30</v>
      </c>
    </row>
    <row r="98" customFormat="false" ht="15" hidden="false" customHeight="false" outlineLevel="0" collapsed="false">
      <c r="A98" s="2" t="s">
        <v>191</v>
      </c>
      <c r="B98" s="3" t="n">
        <v>46211</v>
      </c>
      <c r="C98" s="2" t="s">
        <v>57</v>
      </c>
      <c r="D98" s="2" t="s">
        <v>19</v>
      </c>
      <c r="E98" s="2" t="s">
        <v>39</v>
      </c>
      <c r="F98" s="2" t="n">
        <v>3</v>
      </c>
      <c r="G98" s="2" t="n">
        <v>3</v>
      </c>
      <c r="H98" s="2" t="n">
        <v>3</v>
      </c>
      <c r="I98" s="2" t="n">
        <v>4</v>
      </c>
      <c r="J98" s="2" t="n">
        <v>4</v>
      </c>
      <c r="K98" s="2" t="n">
        <v>4</v>
      </c>
      <c r="L98" s="2" t="n">
        <v>5</v>
      </c>
      <c r="M98" s="2" t="n">
        <v>3</v>
      </c>
      <c r="N98" s="2" t="n">
        <v>7</v>
      </c>
      <c r="O98" s="2" t="s">
        <v>26</v>
      </c>
      <c r="P98" s="2" t="s">
        <v>192</v>
      </c>
      <c r="Q98" s="2"/>
    </row>
    <row r="99" customFormat="false" ht="15" hidden="false" customHeight="false" outlineLevel="0" collapsed="false">
      <c r="A99" s="2" t="s">
        <v>193</v>
      </c>
      <c r="B99" s="3" t="n">
        <v>46212</v>
      </c>
      <c r="C99" s="2" t="s">
        <v>57</v>
      </c>
      <c r="D99" s="2" t="s">
        <v>19</v>
      </c>
      <c r="E99" s="2" t="s">
        <v>39</v>
      </c>
      <c r="F99" s="2" t="n">
        <v>4</v>
      </c>
      <c r="G99" s="2" t="n">
        <v>3</v>
      </c>
      <c r="H99" s="2" t="n">
        <v>2</v>
      </c>
      <c r="I99" s="2" t="n">
        <v>2</v>
      </c>
      <c r="J99" s="2" t="n">
        <v>4</v>
      </c>
      <c r="K99" s="2" t="n">
        <v>3</v>
      </c>
      <c r="L99" s="2" t="n">
        <v>5</v>
      </c>
      <c r="M99" s="2" t="n">
        <v>3</v>
      </c>
      <c r="N99" s="2" t="n">
        <v>6</v>
      </c>
      <c r="O99" s="2" t="s">
        <v>26</v>
      </c>
      <c r="P99" s="2" t="s">
        <v>116</v>
      </c>
      <c r="Q99" s="2" t="s">
        <v>94</v>
      </c>
    </row>
    <row r="100" customFormat="false" ht="15" hidden="false" customHeight="false" outlineLevel="0" collapsed="false">
      <c r="A100" s="2" t="s">
        <v>194</v>
      </c>
      <c r="B100" s="3" t="n">
        <v>46212</v>
      </c>
      <c r="C100" s="2" t="s">
        <v>67</v>
      </c>
      <c r="D100" s="2" t="s">
        <v>19</v>
      </c>
      <c r="E100" s="2" t="s">
        <v>34</v>
      </c>
      <c r="F100" s="2" t="n">
        <v>5</v>
      </c>
      <c r="G100" s="2" t="n">
        <v>4</v>
      </c>
      <c r="H100" s="2" t="n">
        <v>2</v>
      </c>
      <c r="I100" s="2" t="n">
        <v>3</v>
      </c>
      <c r="J100" s="2" t="n">
        <v>5</v>
      </c>
      <c r="K100" s="2" t="n">
        <v>4</v>
      </c>
      <c r="L100" s="2" t="n">
        <v>4</v>
      </c>
      <c r="M100" s="2" t="n">
        <v>4</v>
      </c>
      <c r="N100" s="2" t="n">
        <v>6</v>
      </c>
      <c r="O100" s="2" t="s">
        <v>26</v>
      </c>
      <c r="P100" s="2" t="s">
        <v>81</v>
      </c>
      <c r="Q100" s="2"/>
    </row>
    <row r="101" customFormat="false" ht="15" hidden="false" customHeight="false" outlineLevel="0" collapsed="false">
      <c r="A101" s="2" t="s">
        <v>195</v>
      </c>
      <c r="B101" s="3" t="n">
        <v>46210</v>
      </c>
      <c r="C101" s="2" t="s">
        <v>50</v>
      </c>
      <c r="D101" s="2" t="s">
        <v>19</v>
      </c>
      <c r="E101" s="2" t="s">
        <v>25</v>
      </c>
      <c r="F101" s="2" t="n">
        <v>1</v>
      </c>
      <c r="G101" s="2" t="n">
        <v>1</v>
      </c>
      <c r="H101" s="2" t="n">
        <v>2</v>
      </c>
      <c r="I101" s="2" t="n">
        <v>1</v>
      </c>
      <c r="J101" s="2" t="n">
        <v>1</v>
      </c>
      <c r="K101" s="2" t="n">
        <v>3</v>
      </c>
      <c r="L101" s="2" t="n">
        <v>1</v>
      </c>
      <c r="M101" s="2" t="n">
        <v>2</v>
      </c>
      <c r="N101" s="2" t="n">
        <v>1</v>
      </c>
      <c r="O101" s="2" t="s">
        <v>26</v>
      </c>
      <c r="P101" s="2"/>
      <c r="Q101" s="2" t="s">
        <v>27</v>
      </c>
    </row>
    <row r="102" customFormat="false" ht="15" hidden="false" customHeight="false" outlineLevel="0" collapsed="false">
      <c r="A102" s="2" t="s">
        <v>196</v>
      </c>
      <c r="B102" s="3" t="n">
        <v>46213</v>
      </c>
      <c r="C102" s="2" t="s">
        <v>50</v>
      </c>
      <c r="D102" s="2" t="s">
        <v>19</v>
      </c>
      <c r="E102" s="2" t="s">
        <v>25</v>
      </c>
      <c r="F102" s="2" t="n">
        <v>1</v>
      </c>
      <c r="G102" s="2" t="n">
        <v>1</v>
      </c>
      <c r="H102" s="2" t="n">
        <v>1</v>
      </c>
      <c r="I102" s="2" t="n">
        <v>2</v>
      </c>
      <c r="J102" s="2" t="n">
        <v>2</v>
      </c>
      <c r="K102" s="2" t="n">
        <v>2</v>
      </c>
      <c r="L102" s="2" t="n">
        <v>1</v>
      </c>
      <c r="M102" s="2" t="n">
        <v>1</v>
      </c>
      <c r="N102" s="2" t="n">
        <v>1</v>
      </c>
      <c r="O102" s="2" t="s">
        <v>21</v>
      </c>
      <c r="P102" s="2" t="s">
        <v>90</v>
      </c>
      <c r="Q102" s="2" t="s">
        <v>30</v>
      </c>
    </row>
    <row r="103" customFormat="false" ht="15" hidden="false" customHeight="false" outlineLevel="0" collapsed="false">
      <c r="A103" s="2" t="s">
        <v>197</v>
      </c>
      <c r="B103" s="3" t="n">
        <v>46210</v>
      </c>
      <c r="C103" s="2" t="s">
        <v>144</v>
      </c>
      <c r="D103" s="2" t="s">
        <v>19</v>
      </c>
      <c r="E103" s="2" t="s">
        <v>39</v>
      </c>
      <c r="F103" s="2" t="n">
        <v>2</v>
      </c>
      <c r="G103" s="2" t="n">
        <v>3</v>
      </c>
      <c r="H103" s="2" t="n">
        <v>3</v>
      </c>
      <c r="I103" s="2" t="n">
        <v>3</v>
      </c>
      <c r="J103" s="2" t="n">
        <v>3</v>
      </c>
      <c r="K103" s="2" t="n">
        <v>2</v>
      </c>
      <c r="L103" s="2" t="n">
        <v>4</v>
      </c>
      <c r="M103" s="2" t="n">
        <v>3</v>
      </c>
      <c r="N103" s="2" t="n">
        <v>5</v>
      </c>
      <c r="O103" s="2" t="s">
        <v>26</v>
      </c>
      <c r="P103" s="2" t="s">
        <v>69</v>
      </c>
      <c r="Q103" s="2" t="s">
        <v>65</v>
      </c>
    </row>
    <row r="104" customFormat="false" ht="15" hidden="false" customHeight="false" outlineLevel="0" collapsed="false">
      <c r="A104" s="2" t="s">
        <v>198</v>
      </c>
      <c r="B104" s="3" t="n">
        <v>46218</v>
      </c>
      <c r="C104" s="2" t="s">
        <v>199</v>
      </c>
      <c r="D104" s="2" t="s">
        <v>19</v>
      </c>
      <c r="E104" s="2" t="s">
        <v>39</v>
      </c>
      <c r="F104" s="2" t="n">
        <v>4</v>
      </c>
      <c r="G104" s="2" t="n">
        <v>4</v>
      </c>
      <c r="H104" s="2" t="n">
        <v>4</v>
      </c>
      <c r="I104" s="2" t="n">
        <v>4</v>
      </c>
      <c r="J104" s="2" t="n">
        <v>4</v>
      </c>
      <c r="K104" s="2" t="n">
        <v>2</v>
      </c>
      <c r="L104" s="2" t="n">
        <v>3</v>
      </c>
      <c r="M104" s="2" t="n">
        <v>4</v>
      </c>
      <c r="N104" s="2" t="n">
        <v>6</v>
      </c>
      <c r="O104" s="2" t="s">
        <v>26</v>
      </c>
      <c r="P104" s="2" t="s">
        <v>111</v>
      </c>
      <c r="Q104" s="2"/>
    </row>
    <row r="105" customFormat="false" ht="15" hidden="false" customHeight="false" outlineLevel="0" collapsed="false">
      <c r="A105" s="2" t="s">
        <v>200</v>
      </c>
      <c r="B105" s="3" t="n">
        <v>46211</v>
      </c>
      <c r="C105" s="2" t="s">
        <v>67</v>
      </c>
      <c r="D105" s="2" t="s">
        <v>19</v>
      </c>
      <c r="E105" s="2" t="s">
        <v>39</v>
      </c>
      <c r="F105" s="2" t="n">
        <v>4</v>
      </c>
      <c r="G105" s="2" t="n">
        <v>4</v>
      </c>
      <c r="H105" s="2" t="n">
        <v>4</v>
      </c>
      <c r="I105" s="2" t="n">
        <v>4</v>
      </c>
      <c r="J105" s="2" t="n">
        <v>5</v>
      </c>
      <c r="K105" s="2" t="n">
        <v>4</v>
      </c>
      <c r="L105" s="2" t="n">
        <v>4</v>
      </c>
      <c r="M105" s="2" t="n">
        <v>4</v>
      </c>
      <c r="N105" s="2" t="n">
        <v>6</v>
      </c>
      <c r="O105" s="2" t="s">
        <v>21</v>
      </c>
      <c r="P105" s="2" t="s">
        <v>69</v>
      </c>
      <c r="Q105" s="2" t="s">
        <v>30</v>
      </c>
    </row>
    <row r="106" customFormat="false" ht="15" hidden="false" customHeight="false" outlineLevel="0" collapsed="false">
      <c r="A106" s="2" t="s">
        <v>201</v>
      </c>
      <c r="B106" s="3" t="n">
        <v>46218</v>
      </c>
      <c r="C106" s="2" t="s">
        <v>202</v>
      </c>
      <c r="D106" s="2" t="s">
        <v>19</v>
      </c>
      <c r="E106" s="2" t="s">
        <v>20</v>
      </c>
      <c r="F106" s="2" t="n">
        <v>2</v>
      </c>
      <c r="G106" s="2" t="n">
        <v>3</v>
      </c>
      <c r="H106" s="2" t="n">
        <v>3</v>
      </c>
      <c r="I106" s="2" t="n">
        <v>3</v>
      </c>
      <c r="J106" s="2" t="n">
        <v>3</v>
      </c>
      <c r="K106" s="2" t="n">
        <v>2</v>
      </c>
      <c r="L106" s="2" t="n">
        <v>4</v>
      </c>
      <c r="M106" s="2" t="n">
        <v>3</v>
      </c>
      <c r="N106" s="2" t="n">
        <v>4</v>
      </c>
      <c r="O106" s="2" t="s">
        <v>21</v>
      </c>
      <c r="P106" s="2" t="s">
        <v>42</v>
      </c>
      <c r="Q106" s="2" t="s">
        <v>36</v>
      </c>
    </row>
    <row r="107" customFormat="false" ht="15" hidden="false" customHeight="false" outlineLevel="0" collapsed="false">
      <c r="A107" s="2" t="s">
        <v>203</v>
      </c>
      <c r="B107" s="3" t="n">
        <v>46226</v>
      </c>
      <c r="C107" s="2" t="s">
        <v>47</v>
      </c>
      <c r="D107" s="2" t="s">
        <v>19</v>
      </c>
      <c r="E107" s="2" t="s">
        <v>20</v>
      </c>
      <c r="F107" s="2" t="n">
        <v>4</v>
      </c>
      <c r="G107" s="2" t="n">
        <v>4</v>
      </c>
      <c r="H107" s="2" t="n">
        <v>4</v>
      </c>
      <c r="I107" s="2" t="n">
        <v>3</v>
      </c>
      <c r="J107" s="2" t="n">
        <v>4</v>
      </c>
      <c r="K107" s="2" t="n">
        <v>3</v>
      </c>
      <c r="L107" s="2" t="n">
        <v>3</v>
      </c>
      <c r="M107" s="2" t="n">
        <v>5</v>
      </c>
      <c r="N107" s="2" t="n">
        <v>7</v>
      </c>
      <c r="O107" s="2" t="s">
        <v>21</v>
      </c>
      <c r="P107" s="2" t="s">
        <v>98</v>
      </c>
      <c r="Q107" s="2" t="s">
        <v>108</v>
      </c>
    </row>
    <row r="108" customFormat="false" ht="15" hidden="false" customHeight="false" outlineLevel="0" collapsed="false">
      <c r="A108" s="2" t="s">
        <v>204</v>
      </c>
      <c r="B108" s="3" t="n">
        <v>46226</v>
      </c>
      <c r="C108" s="2" t="s">
        <v>142</v>
      </c>
      <c r="D108" s="2" t="s">
        <v>19</v>
      </c>
      <c r="E108" s="2" t="s">
        <v>34</v>
      </c>
      <c r="F108" s="2" t="n">
        <v>3</v>
      </c>
      <c r="G108" s="2" t="n">
        <v>1</v>
      </c>
      <c r="H108" s="2" t="n">
        <v>3</v>
      </c>
      <c r="I108" s="2" t="n">
        <v>3</v>
      </c>
      <c r="J108" s="2" t="n">
        <v>2</v>
      </c>
      <c r="K108" s="2" t="n">
        <v>3</v>
      </c>
      <c r="L108" s="2" t="n">
        <v>1</v>
      </c>
      <c r="M108" s="2" t="n">
        <v>4</v>
      </c>
      <c r="N108" s="2" t="n">
        <v>4</v>
      </c>
      <c r="O108" s="2" t="s">
        <v>26</v>
      </c>
      <c r="P108" s="2"/>
      <c r="Q108" s="2" t="s">
        <v>48</v>
      </c>
    </row>
    <row r="109" customFormat="false" ht="15" hidden="false" customHeight="false" outlineLevel="0" collapsed="false">
      <c r="A109" s="2" t="s">
        <v>205</v>
      </c>
      <c r="B109" s="3" t="n">
        <v>46225</v>
      </c>
      <c r="C109" s="2" t="s">
        <v>83</v>
      </c>
      <c r="D109" s="2" t="s">
        <v>19</v>
      </c>
      <c r="E109" s="2" t="s">
        <v>20</v>
      </c>
      <c r="F109" s="2" t="n">
        <v>4</v>
      </c>
      <c r="G109" s="2" t="n">
        <v>5</v>
      </c>
      <c r="H109" s="2" t="n">
        <v>3</v>
      </c>
      <c r="I109" s="2" t="n">
        <v>4</v>
      </c>
      <c r="J109" s="2" t="n">
        <v>4</v>
      </c>
      <c r="K109" s="2" t="n">
        <v>3</v>
      </c>
      <c r="L109" s="2" t="n">
        <v>4</v>
      </c>
      <c r="M109" s="2" t="n">
        <v>4</v>
      </c>
      <c r="N109" s="2" t="n">
        <v>8</v>
      </c>
      <c r="O109" s="2" t="s">
        <v>21</v>
      </c>
      <c r="P109" s="2" t="s">
        <v>192</v>
      </c>
      <c r="Q109" s="2"/>
    </row>
    <row r="110" customFormat="false" ht="15" hidden="false" customHeight="false" outlineLevel="0" collapsed="false">
      <c r="A110" s="2" t="s">
        <v>206</v>
      </c>
      <c r="B110" s="3" t="n">
        <v>46213</v>
      </c>
      <c r="C110" s="2" t="s">
        <v>18</v>
      </c>
      <c r="D110" s="2" t="s">
        <v>179</v>
      </c>
      <c r="E110" s="2" t="s">
        <v>25</v>
      </c>
      <c r="F110" s="2" t="n">
        <v>3</v>
      </c>
      <c r="G110" s="2" t="n">
        <v>4</v>
      </c>
      <c r="H110" s="2" t="n">
        <v>2</v>
      </c>
      <c r="I110" s="2" t="n">
        <v>3</v>
      </c>
      <c r="J110" s="2" t="n">
        <v>1</v>
      </c>
      <c r="K110" s="2" t="n">
        <v>2</v>
      </c>
      <c r="L110" s="2" t="n">
        <v>1</v>
      </c>
      <c r="M110" s="2" t="n">
        <v>2</v>
      </c>
      <c r="N110" s="2" t="n">
        <v>3</v>
      </c>
      <c r="O110" s="2" t="s">
        <v>21</v>
      </c>
      <c r="P110" s="2"/>
      <c r="Q110" s="2" t="s">
        <v>85</v>
      </c>
    </row>
    <row r="111" customFormat="false" ht="15" hidden="false" customHeight="false" outlineLevel="0" collapsed="false">
      <c r="A111" s="2" t="s">
        <v>207</v>
      </c>
      <c r="B111" s="3" t="n">
        <v>46226</v>
      </c>
      <c r="C111" s="2" t="s">
        <v>45</v>
      </c>
      <c r="D111" s="2" t="s">
        <v>19</v>
      </c>
      <c r="E111" s="2" t="s">
        <v>34</v>
      </c>
      <c r="F111" s="2" t="n">
        <v>3</v>
      </c>
      <c r="G111" s="2" t="n">
        <v>1</v>
      </c>
      <c r="H111" s="2" t="n">
        <v>2</v>
      </c>
      <c r="I111" s="2" t="n">
        <v>2</v>
      </c>
      <c r="J111" s="2" t="n">
        <v>2</v>
      </c>
      <c r="K111" s="2" t="n">
        <v>1</v>
      </c>
      <c r="L111" s="2" t="n">
        <v>1</v>
      </c>
      <c r="M111" s="2" t="n">
        <v>2</v>
      </c>
      <c r="N111" s="2" t="n">
        <v>2</v>
      </c>
      <c r="O111" s="2" t="s">
        <v>26</v>
      </c>
      <c r="P111" s="2"/>
      <c r="Q111" s="2" t="s">
        <v>65</v>
      </c>
    </row>
    <row r="112" customFormat="false" ht="15" hidden="false" customHeight="false" outlineLevel="0" collapsed="false">
      <c r="A112" s="2" t="s">
        <v>208</v>
      </c>
      <c r="B112" s="3" t="n">
        <v>46217</v>
      </c>
      <c r="C112" s="2" t="s">
        <v>209</v>
      </c>
      <c r="D112" s="2" t="s">
        <v>19</v>
      </c>
      <c r="E112" s="2" t="s">
        <v>39</v>
      </c>
      <c r="F112" s="2" t="n">
        <v>4</v>
      </c>
      <c r="G112" s="2" t="n">
        <v>4</v>
      </c>
      <c r="H112" s="2" t="n">
        <v>5</v>
      </c>
      <c r="I112" s="2" t="n">
        <v>4</v>
      </c>
      <c r="J112" s="2" t="n">
        <v>4</v>
      </c>
      <c r="K112" s="2" t="n">
        <v>3</v>
      </c>
      <c r="L112" s="2" t="n">
        <v>3</v>
      </c>
      <c r="M112" s="2" t="n">
        <v>3</v>
      </c>
      <c r="N112" s="2" t="n">
        <v>7</v>
      </c>
      <c r="O112" s="2" t="s">
        <v>26</v>
      </c>
      <c r="P112" s="2" t="s">
        <v>111</v>
      </c>
      <c r="Q112" s="2"/>
    </row>
    <row r="113" customFormat="false" ht="15" hidden="false" customHeight="false" outlineLevel="0" collapsed="false">
      <c r="A113" s="2" t="s">
        <v>210</v>
      </c>
      <c r="B113" s="3" t="n">
        <v>46211</v>
      </c>
      <c r="C113" s="2" t="s">
        <v>144</v>
      </c>
      <c r="D113" s="2" t="s">
        <v>115</v>
      </c>
      <c r="E113" s="2" t="s">
        <v>25</v>
      </c>
      <c r="F113" s="2" t="n">
        <v>2</v>
      </c>
      <c r="G113" s="2" t="n">
        <v>2</v>
      </c>
      <c r="H113" s="2" t="n">
        <v>3</v>
      </c>
      <c r="I113" s="2" t="n">
        <v>3</v>
      </c>
      <c r="J113" s="2" t="n">
        <v>2</v>
      </c>
      <c r="K113" s="2" t="n">
        <v>1</v>
      </c>
      <c r="L113" s="2" t="n">
        <v>1</v>
      </c>
      <c r="M113" s="2" t="n">
        <v>1</v>
      </c>
      <c r="N113" s="2" t="n">
        <v>2</v>
      </c>
      <c r="O113" s="2" t="s">
        <v>21</v>
      </c>
      <c r="P113" s="2" t="s">
        <v>172</v>
      </c>
      <c r="Q113" s="2" t="s">
        <v>108</v>
      </c>
    </row>
    <row r="114" customFormat="false" ht="15" hidden="false" customHeight="false" outlineLevel="0" collapsed="false">
      <c r="A114" s="2" t="s">
        <v>211</v>
      </c>
      <c r="B114" s="3" t="n">
        <v>46217</v>
      </c>
      <c r="C114" s="2" t="s">
        <v>45</v>
      </c>
      <c r="D114" s="2" t="s">
        <v>19</v>
      </c>
      <c r="E114" s="2" t="s">
        <v>34</v>
      </c>
      <c r="F114" s="2" t="n">
        <v>3</v>
      </c>
      <c r="G114" s="2" t="n">
        <v>5</v>
      </c>
      <c r="H114" s="2" t="n">
        <v>4</v>
      </c>
      <c r="I114" s="2" t="n">
        <v>2</v>
      </c>
      <c r="J114" s="2" t="n">
        <v>4</v>
      </c>
      <c r="K114" s="2" t="n">
        <v>3</v>
      </c>
      <c r="L114" s="2" t="n">
        <v>3</v>
      </c>
      <c r="M114" s="2" t="n">
        <v>5</v>
      </c>
      <c r="N114" s="2" t="n">
        <v>7</v>
      </c>
      <c r="O114" s="2" t="s">
        <v>21</v>
      </c>
      <c r="P114" s="2" t="s">
        <v>111</v>
      </c>
      <c r="Q114" s="2"/>
    </row>
    <row r="115" customFormat="false" ht="15" hidden="false" customHeight="false" outlineLevel="0" collapsed="false">
      <c r="A115" s="2" t="s">
        <v>212</v>
      </c>
      <c r="B115" s="3" t="n">
        <v>46225</v>
      </c>
      <c r="C115" s="2" t="s">
        <v>177</v>
      </c>
      <c r="D115" s="2" t="s">
        <v>19</v>
      </c>
      <c r="E115" s="2" t="s">
        <v>39</v>
      </c>
      <c r="F115" s="2" t="n">
        <v>5</v>
      </c>
      <c r="G115" s="2" t="n">
        <v>4</v>
      </c>
      <c r="H115" s="2" t="n">
        <v>5</v>
      </c>
      <c r="I115" s="2" t="n">
        <v>3</v>
      </c>
      <c r="J115" s="2" t="n">
        <v>4</v>
      </c>
      <c r="K115" s="2" t="n">
        <v>4</v>
      </c>
      <c r="L115" s="2" t="n">
        <v>3</v>
      </c>
      <c r="M115" s="2" t="n">
        <v>5</v>
      </c>
      <c r="N115" s="2" t="n">
        <v>7</v>
      </c>
      <c r="O115" s="2" t="s">
        <v>21</v>
      </c>
      <c r="P115" s="2" t="s">
        <v>81</v>
      </c>
      <c r="Q115" s="2"/>
    </row>
    <row r="116" customFormat="false" ht="15" hidden="false" customHeight="false" outlineLevel="0" collapsed="false">
      <c r="A116" s="2" t="s">
        <v>213</v>
      </c>
      <c r="B116" s="3" t="n">
        <v>46214</v>
      </c>
      <c r="C116" s="2" t="s">
        <v>41</v>
      </c>
      <c r="D116" s="2" t="s">
        <v>19</v>
      </c>
      <c r="E116" s="2" t="s">
        <v>20</v>
      </c>
      <c r="F116" s="2" t="n">
        <v>2</v>
      </c>
      <c r="G116" s="2" t="n">
        <v>4</v>
      </c>
      <c r="H116" s="2" t="n">
        <v>5</v>
      </c>
      <c r="I116" s="2" t="n">
        <v>5</v>
      </c>
      <c r="J116" s="2" t="n">
        <v>4</v>
      </c>
      <c r="K116" s="2" t="n">
        <v>3</v>
      </c>
      <c r="L116" s="2" t="n">
        <v>4</v>
      </c>
      <c r="M116" s="2" t="n">
        <v>3</v>
      </c>
      <c r="N116" s="2" t="n">
        <v>7</v>
      </c>
      <c r="O116" s="2" t="s">
        <v>21</v>
      </c>
      <c r="P116" s="2" t="s">
        <v>98</v>
      </c>
      <c r="Q116" s="2"/>
    </row>
    <row r="117" customFormat="false" ht="15" hidden="false" customHeight="false" outlineLevel="0" collapsed="false">
      <c r="A117" s="2" t="s">
        <v>214</v>
      </c>
      <c r="B117" s="3" t="n">
        <v>46210</v>
      </c>
      <c r="C117" s="2" t="s">
        <v>29</v>
      </c>
      <c r="D117" s="2" t="s">
        <v>19</v>
      </c>
      <c r="E117" s="2" t="s">
        <v>39</v>
      </c>
      <c r="F117" s="2" t="n">
        <v>2</v>
      </c>
      <c r="G117" s="2" t="n">
        <v>2</v>
      </c>
      <c r="H117" s="2" t="n">
        <v>2</v>
      </c>
      <c r="I117" s="2" t="n">
        <v>1</v>
      </c>
      <c r="J117" s="2" t="n">
        <v>2</v>
      </c>
      <c r="K117" s="2" t="n">
        <v>2</v>
      </c>
      <c r="L117" s="2" t="n">
        <v>2</v>
      </c>
      <c r="M117" s="2" t="n">
        <v>2</v>
      </c>
      <c r="N117" s="2" t="n">
        <v>1</v>
      </c>
      <c r="O117" s="2" t="s">
        <v>21</v>
      </c>
      <c r="P117" s="2"/>
      <c r="Q117" s="2" t="s">
        <v>94</v>
      </c>
    </row>
    <row r="118" customFormat="false" ht="15" hidden="false" customHeight="false" outlineLevel="0" collapsed="false">
      <c r="A118" s="2" t="s">
        <v>215</v>
      </c>
      <c r="B118" s="3" t="n">
        <v>46224</v>
      </c>
      <c r="C118" s="2" t="s">
        <v>57</v>
      </c>
      <c r="D118" s="2" t="s">
        <v>19</v>
      </c>
      <c r="E118" s="2" t="s">
        <v>25</v>
      </c>
      <c r="F118" s="2" t="n">
        <v>4</v>
      </c>
      <c r="G118" s="2" t="n">
        <v>3</v>
      </c>
      <c r="H118" s="2" t="n">
        <v>2</v>
      </c>
      <c r="I118" s="2" t="n">
        <v>3</v>
      </c>
      <c r="J118" s="2" t="n">
        <v>3</v>
      </c>
      <c r="K118" s="2" t="n">
        <v>2</v>
      </c>
      <c r="L118" s="2" t="n">
        <v>1</v>
      </c>
      <c r="M118" s="2" t="n">
        <v>3</v>
      </c>
      <c r="N118" s="2" t="n">
        <v>4</v>
      </c>
      <c r="O118" s="2" t="s">
        <v>21</v>
      </c>
      <c r="P118" s="2"/>
      <c r="Q118" s="2" t="s">
        <v>30</v>
      </c>
    </row>
    <row r="119" customFormat="false" ht="15" hidden="false" customHeight="false" outlineLevel="0" collapsed="false">
      <c r="A119" s="2" t="s">
        <v>216</v>
      </c>
      <c r="B119" s="3" t="n">
        <v>46214</v>
      </c>
      <c r="C119" s="2" t="s">
        <v>126</v>
      </c>
      <c r="D119" s="2" t="s">
        <v>19</v>
      </c>
      <c r="E119" s="2" t="s">
        <v>34</v>
      </c>
      <c r="F119" s="2" t="n">
        <v>3</v>
      </c>
      <c r="G119" s="2" t="n">
        <v>3</v>
      </c>
      <c r="H119" s="2" t="n">
        <v>3</v>
      </c>
      <c r="I119" s="2" t="n">
        <v>2</v>
      </c>
      <c r="J119" s="2" t="n">
        <v>4</v>
      </c>
      <c r="K119" s="2" t="n">
        <v>4</v>
      </c>
      <c r="L119" s="2" t="n">
        <v>4</v>
      </c>
      <c r="M119" s="2" t="n">
        <v>4</v>
      </c>
      <c r="N119" s="2" t="n">
        <v>7</v>
      </c>
      <c r="O119" s="2" t="s">
        <v>21</v>
      </c>
      <c r="P119" s="2" t="s">
        <v>58</v>
      </c>
      <c r="Q119" s="2" t="s">
        <v>128</v>
      </c>
    </row>
    <row r="120" customFormat="false" ht="15" hidden="false" customHeight="false" outlineLevel="0" collapsed="false">
      <c r="A120" s="2" t="s">
        <v>217</v>
      </c>
      <c r="B120" s="3" t="n">
        <v>46215</v>
      </c>
      <c r="C120" s="2" t="s">
        <v>218</v>
      </c>
      <c r="D120" s="2" t="s">
        <v>19</v>
      </c>
      <c r="E120" s="2" t="s">
        <v>39</v>
      </c>
      <c r="F120" s="2" t="n">
        <v>4</v>
      </c>
      <c r="G120" s="2" t="n">
        <v>5</v>
      </c>
      <c r="H120" s="2" t="n">
        <v>4</v>
      </c>
      <c r="I120" s="2" t="n">
        <v>4</v>
      </c>
      <c r="J120" s="2" t="n">
        <v>4</v>
      </c>
      <c r="K120" s="2" t="n">
        <v>3</v>
      </c>
      <c r="L120" s="2" t="n">
        <v>4</v>
      </c>
      <c r="M120" s="2" t="n">
        <v>5</v>
      </c>
      <c r="N120" s="2" t="n">
        <v>7</v>
      </c>
      <c r="O120" s="2" t="s">
        <v>21</v>
      </c>
      <c r="P120" s="2" t="s">
        <v>172</v>
      </c>
      <c r="Q120" s="2"/>
    </row>
    <row r="121" customFormat="false" ht="15" hidden="false" customHeight="false" outlineLevel="0" collapsed="false">
      <c r="A121" s="2" t="s">
        <v>219</v>
      </c>
      <c r="B121" s="3" t="n">
        <v>46222</v>
      </c>
      <c r="C121" s="2" t="s">
        <v>100</v>
      </c>
      <c r="D121" s="2" t="s">
        <v>19</v>
      </c>
      <c r="E121" s="2" t="s">
        <v>39</v>
      </c>
      <c r="F121" s="2" t="n">
        <v>4</v>
      </c>
      <c r="G121" s="2" t="n">
        <v>2</v>
      </c>
      <c r="H121" s="2" t="n">
        <v>4</v>
      </c>
      <c r="I121" s="2" t="n">
        <v>4</v>
      </c>
      <c r="J121" s="2" t="n">
        <v>3</v>
      </c>
      <c r="K121" s="2" t="n">
        <v>4</v>
      </c>
      <c r="L121" s="2" t="n">
        <v>3</v>
      </c>
      <c r="M121" s="2" t="n">
        <v>3</v>
      </c>
      <c r="N121" s="2" t="n">
        <v>5</v>
      </c>
      <c r="O121" s="2" t="s">
        <v>21</v>
      </c>
      <c r="P121" s="2" t="s">
        <v>35</v>
      </c>
      <c r="Q121" s="2" t="s">
        <v>48</v>
      </c>
    </row>
    <row r="122" customFormat="false" ht="15" hidden="false" customHeight="false" outlineLevel="0" collapsed="false">
      <c r="A122" s="2" t="s">
        <v>220</v>
      </c>
      <c r="B122" s="3" t="n">
        <v>46220</v>
      </c>
      <c r="C122" s="2" t="s">
        <v>67</v>
      </c>
      <c r="D122" s="2" t="s">
        <v>19</v>
      </c>
      <c r="E122" s="2" t="s">
        <v>34</v>
      </c>
      <c r="F122" s="2" t="n">
        <v>4</v>
      </c>
      <c r="G122" s="2" t="n">
        <v>5</v>
      </c>
      <c r="H122" s="2" t="n">
        <v>4</v>
      </c>
      <c r="I122" s="2" t="n">
        <v>5</v>
      </c>
      <c r="J122" s="2" t="n">
        <v>4</v>
      </c>
      <c r="K122" s="2" t="n">
        <v>3</v>
      </c>
      <c r="L122" s="2" t="n">
        <v>4</v>
      </c>
      <c r="M122" s="2" t="n">
        <v>5</v>
      </c>
      <c r="N122" s="2" t="n">
        <v>8</v>
      </c>
      <c r="O122" s="2" t="s">
        <v>21</v>
      </c>
      <c r="P122" s="2" t="s">
        <v>71</v>
      </c>
      <c r="Q122" s="2" t="s">
        <v>101</v>
      </c>
    </row>
    <row r="123" customFormat="false" ht="15" hidden="false" customHeight="false" outlineLevel="0" collapsed="false">
      <c r="A123" s="2" t="s">
        <v>221</v>
      </c>
      <c r="B123" s="3" t="n">
        <v>46217</v>
      </c>
      <c r="C123" s="2" t="s">
        <v>185</v>
      </c>
      <c r="D123" s="2" t="s">
        <v>19</v>
      </c>
      <c r="E123" s="2" t="s">
        <v>34</v>
      </c>
      <c r="F123" s="2" t="n">
        <v>3</v>
      </c>
      <c r="G123" s="2" t="n">
        <v>5</v>
      </c>
      <c r="H123" s="2" t="n">
        <v>5</v>
      </c>
      <c r="I123" s="2" t="n">
        <v>1</v>
      </c>
      <c r="J123" s="2" t="n">
        <v>3</v>
      </c>
      <c r="K123" s="2" t="n">
        <v>2</v>
      </c>
      <c r="L123" s="2" t="n">
        <v>4</v>
      </c>
      <c r="M123" s="2" t="n">
        <v>3</v>
      </c>
      <c r="N123" s="2" t="n">
        <v>5</v>
      </c>
      <c r="O123" s="2" t="s">
        <v>21</v>
      </c>
      <c r="P123" s="2" t="s">
        <v>78</v>
      </c>
      <c r="Q123" s="2" t="s">
        <v>36</v>
      </c>
    </row>
    <row r="124" customFormat="false" ht="15" hidden="false" customHeight="false" outlineLevel="0" collapsed="false">
      <c r="A124" s="2" t="s">
        <v>222</v>
      </c>
      <c r="B124" s="3" t="n">
        <v>46212</v>
      </c>
      <c r="C124" s="2" t="s">
        <v>100</v>
      </c>
      <c r="D124" s="2" t="s">
        <v>19</v>
      </c>
      <c r="E124" s="2" t="s">
        <v>25</v>
      </c>
      <c r="F124" s="2" t="n">
        <v>4</v>
      </c>
      <c r="G124" s="2" t="n">
        <v>2</v>
      </c>
      <c r="H124" s="2" t="n">
        <v>3</v>
      </c>
      <c r="I124" s="2" t="n">
        <v>3</v>
      </c>
      <c r="J124" s="2" t="n">
        <v>3</v>
      </c>
      <c r="K124" s="2" t="n">
        <v>3</v>
      </c>
      <c r="L124" s="2" t="n">
        <v>1</v>
      </c>
      <c r="M124" s="2" t="n">
        <v>3</v>
      </c>
      <c r="N124" s="2" t="n">
        <v>5</v>
      </c>
      <c r="O124" s="2" t="s">
        <v>21</v>
      </c>
      <c r="P124" s="2"/>
      <c r="Q124" s="2" t="s">
        <v>27</v>
      </c>
    </row>
    <row r="125" customFormat="false" ht="15" hidden="false" customHeight="false" outlineLevel="0" collapsed="false">
      <c r="A125" s="2" t="s">
        <v>223</v>
      </c>
      <c r="B125" s="3" t="n">
        <v>46218</v>
      </c>
      <c r="C125" s="2" t="s">
        <v>32</v>
      </c>
      <c r="D125" s="2" t="s">
        <v>33</v>
      </c>
      <c r="E125" s="2" t="s">
        <v>34</v>
      </c>
      <c r="F125" s="2" t="n">
        <v>3</v>
      </c>
      <c r="G125" s="2" t="n">
        <v>3</v>
      </c>
      <c r="H125" s="2" t="n">
        <v>3</v>
      </c>
      <c r="I125" s="2" t="n">
        <v>3</v>
      </c>
      <c r="J125" s="2" t="n">
        <v>2</v>
      </c>
      <c r="K125" s="2" t="n">
        <v>2</v>
      </c>
      <c r="L125" s="2" t="n">
        <v>3</v>
      </c>
      <c r="M125" s="2" t="n">
        <v>3</v>
      </c>
      <c r="N125" s="2" t="n">
        <v>5</v>
      </c>
      <c r="O125" s="2" t="s">
        <v>26</v>
      </c>
      <c r="P125" s="2" t="s">
        <v>81</v>
      </c>
      <c r="Q125" s="2" t="s">
        <v>85</v>
      </c>
    </row>
    <row r="126" customFormat="false" ht="15" hidden="false" customHeight="false" outlineLevel="0" collapsed="false">
      <c r="A126" s="2" t="s">
        <v>224</v>
      </c>
      <c r="B126" s="3" t="n">
        <v>46219</v>
      </c>
      <c r="C126" s="2" t="s">
        <v>57</v>
      </c>
      <c r="D126" s="2" t="s">
        <v>19</v>
      </c>
      <c r="E126" s="2" t="s">
        <v>25</v>
      </c>
      <c r="F126" s="2" t="n">
        <v>2</v>
      </c>
      <c r="G126" s="2" t="n">
        <v>2</v>
      </c>
      <c r="H126" s="2" t="n">
        <v>2</v>
      </c>
      <c r="I126" s="2" t="n">
        <v>2</v>
      </c>
      <c r="J126" s="2" t="n">
        <v>1</v>
      </c>
      <c r="K126" s="2" t="n">
        <v>1</v>
      </c>
      <c r="L126" s="2" t="n">
        <v>1</v>
      </c>
      <c r="M126" s="2" t="n">
        <v>1</v>
      </c>
      <c r="N126" s="2" t="n">
        <v>1</v>
      </c>
      <c r="O126" s="2" t="s">
        <v>21</v>
      </c>
      <c r="P126" s="2"/>
      <c r="Q126" s="2" t="s">
        <v>94</v>
      </c>
    </row>
    <row r="127" customFormat="false" ht="15" hidden="false" customHeight="false" outlineLevel="0" collapsed="false">
      <c r="A127" s="2" t="s">
        <v>225</v>
      </c>
      <c r="B127" s="3" t="n">
        <v>46209</v>
      </c>
      <c r="C127" s="2" t="s">
        <v>152</v>
      </c>
      <c r="D127" s="2" t="s">
        <v>19</v>
      </c>
      <c r="E127" s="2" t="s">
        <v>39</v>
      </c>
      <c r="F127" s="2" t="n">
        <v>3</v>
      </c>
      <c r="G127" s="2" t="n">
        <v>4</v>
      </c>
      <c r="H127" s="2" t="n">
        <v>1</v>
      </c>
      <c r="I127" s="2" t="n">
        <v>3</v>
      </c>
      <c r="J127" s="2" t="n">
        <v>1</v>
      </c>
      <c r="K127" s="2" t="n">
        <v>2</v>
      </c>
      <c r="L127" s="2" t="n">
        <v>2</v>
      </c>
      <c r="M127" s="2" t="n">
        <v>2</v>
      </c>
      <c r="N127" s="2" t="n">
        <v>2</v>
      </c>
      <c r="O127" s="2" t="s">
        <v>21</v>
      </c>
      <c r="P127" s="2"/>
      <c r="Q127" s="2" t="s">
        <v>55</v>
      </c>
    </row>
    <row r="128" customFormat="false" ht="15" hidden="false" customHeight="false" outlineLevel="0" collapsed="false">
      <c r="A128" s="2" t="s">
        <v>226</v>
      </c>
      <c r="B128" s="3" t="n">
        <v>46213</v>
      </c>
      <c r="C128" s="2" t="s">
        <v>80</v>
      </c>
      <c r="D128" s="2" t="s">
        <v>19</v>
      </c>
      <c r="E128" s="2" t="s">
        <v>39</v>
      </c>
      <c r="F128" s="2" t="n">
        <v>4</v>
      </c>
      <c r="G128" s="2" t="n">
        <v>4</v>
      </c>
      <c r="H128" s="2" t="n">
        <v>5</v>
      </c>
      <c r="I128" s="2" t="n">
        <v>3</v>
      </c>
      <c r="J128" s="2" t="n">
        <v>5</v>
      </c>
      <c r="K128" s="2" t="n">
        <v>2</v>
      </c>
      <c r="L128" s="2" t="n">
        <v>4</v>
      </c>
      <c r="M128" s="2" t="n">
        <v>3</v>
      </c>
      <c r="N128" s="2" t="n">
        <v>7</v>
      </c>
      <c r="O128" s="2" t="s">
        <v>21</v>
      </c>
      <c r="P128" s="2" t="s">
        <v>172</v>
      </c>
      <c r="Q128" s="2"/>
    </row>
    <row r="129" customFormat="false" ht="15" hidden="false" customHeight="false" outlineLevel="0" collapsed="false">
      <c r="A129" s="2" t="s">
        <v>227</v>
      </c>
      <c r="B129" s="3" t="n">
        <v>46223</v>
      </c>
      <c r="C129" s="2" t="s">
        <v>126</v>
      </c>
      <c r="D129" s="2" t="s">
        <v>19</v>
      </c>
      <c r="E129" s="2" t="s">
        <v>25</v>
      </c>
      <c r="F129" s="2" t="n">
        <v>3</v>
      </c>
      <c r="G129" s="2" t="n">
        <v>3</v>
      </c>
      <c r="H129" s="2" t="n">
        <v>2</v>
      </c>
      <c r="I129" s="2" t="n">
        <v>4</v>
      </c>
      <c r="J129" s="2" t="n">
        <v>2</v>
      </c>
      <c r="K129" s="2" t="n">
        <v>1</v>
      </c>
      <c r="L129" s="2" t="n">
        <v>3</v>
      </c>
      <c r="M129" s="2" t="n">
        <v>3</v>
      </c>
      <c r="N129" s="2" t="n">
        <v>4</v>
      </c>
      <c r="O129" s="2" t="s">
        <v>26</v>
      </c>
      <c r="P129" s="2"/>
      <c r="Q129" s="2" t="s">
        <v>85</v>
      </c>
    </row>
    <row r="130" customFormat="false" ht="15" hidden="false" customHeight="false" outlineLevel="0" collapsed="false">
      <c r="A130" s="2" t="s">
        <v>228</v>
      </c>
      <c r="B130" s="3" t="n">
        <v>46216</v>
      </c>
      <c r="C130" s="2" t="s">
        <v>38</v>
      </c>
      <c r="D130" s="2" t="s">
        <v>19</v>
      </c>
      <c r="E130" s="2" t="s">
        <v>20</v>
      </c>
      <c r="F130" s="2" t="n">
        <v>3</v>
      </c>
      <c r="G130" s="2" t="n">
        <v>2</v>
      </c>
      <c r="H130" s="2" t="n">
        <v>1</v>
      </c>
      <c r="I130" s="2" t="n">
        <v>4</v>
      </c>
      <c r="J130" s="2" t="n">
        <v>3</v>
      </c>
      <c r="K130" s="2" t="n">
        <v>1</v>
      </c>
      <c r="L130" s="2" t="n">
        <v>1</v>
      </c>
      <c r="M130" s="2" t="n">
        <v>3</v>
      </c>
      <c r="N130" s="2" t="n">
        <v>2</v>
      </c>
      <c r="O130" s="2" t="s">
        <v>26</v>
      </c>
      <c r="P130" s="2"/>
      <c r="Q130" s="2" t="s">
        <v>59</v>
      </c>
    </row>
    <row r="131" customFormat="false" ht="15" hidden="false" customHeight="false" outlineLevel="0" collapsed="false">
      <c r="A131" s="2" t="s">
        <v>229</v>
      </c>
      <c r="B131" s="3" t="n">
        <v>46209</v>
      </c>
      <c r="C131" s="2" t="s">
        <v>47</v>
      </c>
      <c r="D131" s="2" t="s">
        <v>19</v>
      </c>
      <c r="E131" s="2" t="s">
        <v>20</v>
      </c>
      <c r="F131" s="2" t="n">
        <v>3</v>
      </c>
      <c r="G131" s="2" t="n">
        <v>3</v>
      </c>
      <c r="H131" s="2" t="n">
        <v>4</v>
      </c>
      <c r="I131" s="2" t="n">
        <v>2</v>
      </c>
      <c r="J131" s="2" t="n">
        <v>3</v>
      </c>
      <c r="K131" s="2" t="n">
        <v>4</v>
      </c>
      <c r="L131" s="2" t="n">
        <v>2</v>
      </c>
      <c r="M131" s="2" t="n">
        <v>4</v>
      </c>
      <c r="N131" s="2" t="n">
        <v>6</v>
      </c>
      <c r="O131" s="2" t="s">
        <v>21</v>
      </c>
      <c r="P131" s="2" t="s">
        <v>51</v>
      </c>
      <c r="Q131" s="2" t="s">
        <v>94</v>
      </c>
    </row>
    <row r="132" customFormat="false" ht="15" hidden="false" customHeight="false" outlineLevel="0" collapsed="false">
      <c r="A132" s="2" t="s">
        <v>230</v>
      </c>
      <c r="B132" s="3" t="n">
        <v>46211</v>
      </c>
      <c r="C132" s="2" t="s">
        <v>18</v>
      </c>
      <c r="D132" s="2" t="s">
        <v>19</v>
      </c>
      <c r="E132" s="2" t="s">
        <v>25</v>
      </c>
      <c r="F132" s="2" t="n">
        <v>2</v>
      </c>
      <c r="G132" s="2" t="n">
        <v>3</v>
      </c>
      <c r="H132" s="2" t="n">
        <v>2</v>
      </c>
      <c r="I132" s="2" t="n">
        <v>4</v>
      </c>
      <c r="J132" s="2" t="n">
        <v>3</v>
      </c>
      <c r="K132" s="2" t="n">
        <v>2</v>
      </c>
      <c r="L132" s="2" t="n">
        <v>1</v>
      </c>
      <c r="M132" s="2" t="n">
        <v>3</v>
      </c>
      <c r="N132" s="2" t="n">
        <v>5</v>
      </c>
      <c r="O132" s="2" t="s">
        <v>21</v>
      </c>
      <c r="P132" s="2"/>
      <c r="Q132" s="2" t="s">
        <v>108</v>
      </c>
    </row>
    <row r="133" customFormat="false" ht="15" hidden="false" customHeight="false" outlineLevel="0" collapsed="false">
      <c r="A133" s="2" t="s">
        <v>231</v>
      </c>
      <c r="B133" s="3" t="n">
        <v>46216</v>
      </c>
      <c r="C133" s="2" t="s">
        <v>32</v>
      </c>
      <c r="D133" s="2" t="s">
        <v>19</v>
      </c>
      <c r="E133" s="2" t="s">
        <v>34</v>
      </c>
      <c r="F133" s="2" t="n">
        <v>3</v>
      </c>
      <c r="G133" s="2" t="n">
        <v>3</v>
      </c>
      <c r="H133" s="2" t="n">
        <v>3</v>
      </c>
      <c r="I133" s="2" t="n">
        <v>4</v>
      </c>
      <c r="J133" s="2" t="n">
        <v>3</v>
      </c>
      <c r="K133" s="2" t="n">
        <v>2</v>
      </c>
      <c r="L133" s="2" t="n">
        <v>4</v>
      </c>
      <c r="M133" s="2" t="n">
        <v>4</v>
      </c>
      <c r="N133" s="2" t="n">
        <v>6</v>
      </c>
      <c r="O133" s="2" t="s">
        <v>26</v>
      </c>
      <c r="P133" s="2" t="s">
        <v>51</v>
      </c>
      <c r="Q133" s="2" t="s">
        <v>128</v>
      </c>
    </row>
    <row r="134" customFormat="false" ht="15" hidden="false" customHeight="false" outlineLevel="0" collapsed="false">
      <c r="A134" s="2" t="s">
        <v>232</v>
      </c>
      <c r="B134" s="3" t="n">
        <v>46219</v>
      </c>
      <c r="C134" s="2" t="s">
        <v>41</v>
      </c>
      <c r="D134" s="2" t="s">
        <v>19</v>
      </c>
      <c r="E134" s="2" t="s">
        <v>20</v>
      </c>
      <c r="F134" s="2" t="n">
        <v>2</v>
      </c>
      <c r="G134" s="2" t="n">
        <v>4</v>
      </c>
      <c r="H134" s="2" t="n">
        <v>3</v>
      </c>
      <c r="I134" s="2" t="n">
        <v>3</v>
      </c>
      <c r="J134" s="2" t="n">
        <v>3</v>
      </c>
      <c r="K134" s="2" t="n">
        <v>3</v>
      </c>
      <c r="L134" s="2" t="n">
        <v>4</v>
      </c>
      <c r="M134" s="2" t="n">
        <v>4</v>
      </c>
      <c r="N134" s="2" t="n">
        <v>6</v>
      </c>
      <c r="O134" s="2" t="s">
        <v>26</v>
      </c>
      <c r="P134" s="2" t="s">
        <v>35</v>
      </c>
      <c r="Q134" s="2" t="s">
        <v>59</v>
      </c>
    </row>
    <row r="135" customFormat="false" ht="15" hidden="false" customHeight="false" outlineLevel="0" collapsed="false">
      <c r="A135" s="2" t="s">
        <v>233</v>
      </c>
      <c r="B135" s="3" t="n">
        <v>46216</v>
      </c>
      <c r="C135" s="2" t="s">
        <v>45</v>
      </c>
      <c r="D135" s="2" t="s">
        <v>19</v>
      </c>
      <c r="E135" s="2" t="s">
        <v>25</v>
      </c>
      <c r="F135" s="2" t="n">
        <v>2</v>
      </c>
      <c r="G135" s="2" t="n">
        <v>4</v>
      </c>
      <c r="H135" s="2" t="n">
        <v>3</v>
      </c>
      <c r="I135" s="2" t="n">
        <v>3</v>
      </c>
      <c r="J135" s="2" t="n">
        <v>4</v>
      </c>
      <c r="K135" s="2" t="n">
        <v>3</v>
      </c>
      <c r="L135" s="2" t="n">
        <v>2</v>
      </c>
      <c r="M135" s="2" t="n">
        <v>4</v>
      </c>
      <c r="N135" s="2" t="n">
        <v>6</v>
      </c>
      <c r="O135" s="2" t="s">
        <v>21</v>
      </c>
      <c r="P135" s="2" t="s">
        <v>35</v>
      </c>
      <c r="Q135" s="2" t="s">
        <v>30</v>
      </c>
    </row>
    <row r="136" customFormat="false" ht="15" hidden="false" customHeight="false" outlineLevel="0" collapsed="false">
      <c r="A136" s="2" t="s">
        <v>234</v>
      </c>
      <c r="B136" s="3" t="n">
        <v>46210</v>
      </c>
      <c r="C136" s="2" t="s">
        <v>18</v>
      </c>
      <c r="D136" s="2" t="s">
        <v>19</v>
      </c>
      <c r="E136" s="2" t="s">
        <v>39</v>
      </c>
      <c r="F136" s="2" t="n">
        <v>3</v>
      </c>
      <c r="G136" s="2" t="n">
        <v>3</v>
      </c>
      <c r="H136" s="2" t="n">
        <v>2</v>
      </c>
      <c r="I136" s="2" t="n">
        <v>1</v>
      </c>
      <c r="J136" s="2" t="n">
        <v>2</v>
      </c>
      <c r="K136" s="2" t="n">
        <v>3</v>
      </c>
      <c r="L136" s="2" t="n">
        <v>3</v>
      </c>
      <c r="M136" s="2" t="n">
        <v>3</v>
      </c>
      <c r="N136" s="2" t="n">
        <v>5</v>
      </c>
      <c r="O136" s="2" t="s">
        <v>21</v>
      </c>
      <c r="P136" s="2"/>
      <c r="Q136" s="2" t="s">
        <v>22</v>
      </c>
    </row>
    <row r="137" customFormat="false" ht="15" hidden="false" customHeight="false" outlineLevel="0" collapsed="false">
      <c r="A137" s="2" t="s">
        <v>235</v>
      </c>
      <c r="B137" s="3" t="n">
        <v>46216</v>
      </c>
      <c r="C137" s="2" t="s">
        <v>57</v>
      </c>
      <c r="D137" s="2" t="s">
        <v>19</v>
      </c>
      <c r="E137" s="2" t="s">
        <v>25</v>
      </c>
      <c r="F137" s="2" t="n">
        <v>2</v>
      </c>
      <c r="G137" s="2" t="n">
        <v>2</v>
      </c>
      <c r="H137" s="2" t="n">
        <v>3</v>
      </c>
      <c r="I137" s="2" t="n">
        <v>2</v>
      </c>
      <c r="J137" s="2" t="n">
        <v>3</v>
      </c>
      <c r="K137" s="2" t="n">
        <v>3</v>
      </c>
      <c r="L137" s="2" t="n">
        <v>1</v>
      </c>
      <c r="M137" s="2" t="n">
        <v>4</v>
      </c>
      <c r="N137" s="2" t="n">
        <v>5</v>
      </c>
      <c r="O137" s="2" t="s">
        <v>26</v>
      </c>
      <c r="P137" s="2" t="s">
        <v>111</v>
      </c>
      <c r="Q137" s="2" t="s">
        <v>94</v>
      </c>
    </row>
    <row r="138" customFormat="false" ht="15" hidden="false" customHeight="false" outlineLevel="0" collapsed="false">
      <c r="A138" s="2" t="s">
        <v>236</v>
      </c>
      <c r="B138" s="3" t="n">
        <v>46217</v>
      </c>
      <c r="C138" s="2" t="s">
        <v>73</v>
      </c>
      <c r="D138" s="2" t="s">
        <v>19</v>
      </c>
      <c r="E138" s="2" t="s">
        <v>39</v>
      </c>
      <c r="F138" s="2" t="n">
        <v>3</v>
      </c>
      <c r="G138" s="2" t="n">
        <v>2</v>
      </c>
      <c r="H138" s="2" t="n">
        <v>3</v>
      </c>
      <c r="I138" s="2" t="n">
        <v>2</v>
      </c>
      <c r="J138" s="2" t="n">
        <v>2</v>
      </c>
      <c r="K138" s="2" t="n">
        <v>3</v>
      </c>
      <c r="L138" s="2" t="n">
        <v>2</v>
      </c>
      <c r="M138" s="2" t="n">
        <v>2</v>
      </c>
      <c r="N138" s="2" t="n">
        <v>1</v>
      </c>
      <c r="O138" s="2" t="s">
        <v>21</v>
      </c>
      <c r="P138" s="2"/>
      <c r="Q138" s="2" t="s">
        <v>59</v>
      </c>
    </row>
    <row r="139" customFormat="false" ht="15" hidden="false" customHeight="false" outlineLevel="0" collapsed="false">
      <c r="A139" s="2" t="s">
        <v>237</v>
      </c>
      <c r="B139" s="3" t="n">
        <v>46227</v>
      </c>
      <c r="C139" s="2" t="s">
        <v>45</v>
      </c>
      <c r="D139" s="2" t="s">
        <v>19</v>
      </c>
      <c r="E139" s="2" t="s">
        <v>25</v>
      </c>
      <c r="F139" s="2" t="n">
        <v>3</v>
      </c>
      <c r="G139" s="2" t="n">
        <v>3</v>
      </c>
      <c r="H139" s="2" t="n">
        <v>1</v>
      </c>
      <c r="I139" s="2" t="n">
        <v>2</v>
      </c>
      <c r="J139" s="2" t="n">
        <v>3</v>
      </c>
      <c r="K139" s="2" t="n">
        <v>2</v>
      </c>
      <c r="L139" s="2" t="n">
        <v>3</v>
      </c>
      <c r="M139" s="2" t="n">
        <v>3</v>
      </c>
      <c r="N139" s="2" t="n">
        <v>3</v>
      </c>
      <c r="O139" s="2" t="s">
        <v>21</v>
      </c>
      <c r="P139" s="2"/>
      <c r="Q139" s="2" t="s">
        <v>101</v>
      </c>
    </row>
    <row r="140" customFormat="false" ht="15" hidden="false" customHeight="false" outlineLevel="0" collapsed="false">
      <c r="A140" s="2" t="s">
        <v>238</v>
      </c>
      <c r="B140" s="3" t="n">
        <v>46219</v>
      </c>
      <c r="C140" s="2" t="s">
        <v>45</v>
      </c>
      <c r="D140" s="2" t="s">
        <v>19</v>
      </c>
      <c r="E140" s="2" t="s">
        <v>25</v>
      </c>
      <c r="F140" s="2" t="n">
        <v>3</v>
      </c>
      <c r="G140" s="2" t="n">
        <v>2</v>
      </c>
      <c r="H140" s="2" t="n">
        <v>2</v>
      </c>
      <c r="I140" s="2" t="n">
        <v>2</v>
      </c>
      <c r="J140" s="2" t="n">
        <v>4</v>
      </c>
      <c r="K140" s="2" t="n">
        <v>4</v>
      </c>
      <c r="L140" s="2" t="n">
        <v>1</v>
      </c>
      <c r="M140" s="2" t="n">
        <v>4</v>
      </c>
      <c r="N140" s="2" t="n">
        <v>2</v>
      </c>
      <c r="O140" s="2" t="s">
        <v>21</v>
      </c>
      <c r="P140" s="2"/>
      <c r="Q140" s="2" t="s">
        <v>30</v>
      </c>
    </row>
    <row r="141" customFormat="false" ht="15" hidden="false" customHeight="false" outlineLevel="0" collapsed="false">
      <c r="A141" s="2" t="s">
        <v>239</v>
      </c>
      <c r="B141" s="3" t="n">
        <v>46225</v>
      </c>
      <c r="C141" s="2" t="s">
        <v>67</v>
      </c>
      <c r="D141" s="2" t="s">
        <v>19</v>
      </c>
      <c r="E141" s="2" t="s">
        <v>34</v>
      </c>
      <c r="F141" s="2" t="n">
        <v>4</v>
      </c>
      <c r="G141" s="2" t="n">
        <v>4</v>
      </c>
      <c r="H141" s="2" t="n">
        <v>2</v>
      </c>
      <c r="I141" s="2" t="n">
        <v>4</v>
      </c>
      <c r="J141" s="2" t="n">
        <v>2</v>
      </c>
      <c r="K141" s="2" t="n">
        <v>3</v>
      </c>
      <c r="L141" s="2" t="n">
        <v>3</v>
      </c>
      <c r="M141" s="2" t="n">
        <v>3</v>
      </c>
      <c r="N141" s="2" t="n">
        <v>6</v>
      </c>
      <c r="O141" s="2" t="s">
        <v>21</v>
      </c>
      <c r="P141" s="2" t="s">
        <v>35</v>
      </c>
      <c r="Q141" s="2" t="s">
        <v>30</v>
      </c>
    </row>
    <row r="142" customFormat="false" ht="15" hidden="false" customHeight="false" outlineLevel="0" collapsed="false">
      <c r="A142" s="2" t="s">
        <v>240</v>
      </c>
      <c r="B142" s="3" t="n">
        <v>46210</v>
      </c>
      <c r="C142" s="2" t="s">
        <v>144</v>
      </c>
      <c r="D142" s="2" t="s">
        <v>179</v>
      </c>
      <c r="E142" s="2" t="s">
        <v>39</v>
      </c>
      <c r="F142" s="2" t="n">
        <v>3</v>
      </c>
      <c r="G142" s="2" t="n">
        <v>4</v>
      </c>
      <c r="H142" s="2" t="n">
        <v>3</v>
      </c>
      <c r="I142" s="2" t="n">
        <v>1</v>
      </c>
      <c r="J142" s="2" t="n">
        <v>2</v>
      </c>
      <c r="K142" s="2" t="n">
        <v>3</v>
      </c>
      <c r="L142" s="2" t="n">
        <v>4</v>
      </c>
      <c r="M142" s="2" t="n">
        <v>3</v>
      </c>
      <c r="N142" s="2" t="n">
        <v>6</v>
      </c>
      <c r="O142" s="2" t="s">
        <v>21</v>
      </c>
      <c r="P142" s="2" t="s">
        <v>98</v>
      </c>
      <c r="Q142" s="2" t="s">
        <v>85</v>
      </c>
    </row>
    <row r="143" customFormat="false" ht="15" hidden="false" customHeight="false" outlineLevel="0" collapsed="false">
      <c r="A143" s="2" t="s">
        <v>241</v>
      </c>
      <c r="B143" s="3" t="n">
        <v>46213</v>
      </c>
      <c r="C143" s="2" t="s">
        <v>100</v>
      </c>
      <c r="D143" s="2" t="s">
        <v>19</v>
      </c>
      <c r="E143" s="2" t="s">
        <v>25</v>
      </c>
      <c r="F143" s="2" t="n">
        <v>4</v>
      </c>
      <c r="G143" s="2" t="n">
        <v>2</v>
      </c>
      <c r="H143" s="2" t="n">
        <v>1</v>
      </c>
      <c r="I143" s="2" t="n">
        <v>3</v>
      </c>
      <c r="J143" s="2" t="n">
        <v>2</v>
      </c>
      <c r="K143" s="2" t="n">
        <v>1</v>
      </c>
      <c r="L143" s="2" t="n">
        <v>1</v>
      </c>
      <c r="M143" s="2" t="n">
        <v>2</v>
      </c>
      <c r="N143" s="2" t="n">
        <v>2</v>
      </c>
      <c r="O143" s="2" t="s">
        <v>21</v>
      </c>
      <c r="P143" s="2" t="s">
        <v>42</v>
      </c>
      <c r="Q143" s="2" t="s">
        <v>27</v>
      </c>
    </row>
    <row r="144" customFormat="false" ht="15" hidden="false" customHeight="false" outlineLevel="0" collapsed="false">
      <c r="A144" s="2" t="s">
        <v>242</v>
      </c>
      <c r="B144" s="3" t="n">
        <v>46221</v>
      </c>
      <c r="C144" s="2" t="s">
        <v>103</v>
      </c>
      <c r="D144" s="2" t="s">
        <v>19</v>
      </c>
      <c r="E144" s="2" t="s">
        <v>39</v>
      </c>
      <c r="F144" s="2" t="n">
        <v>4</v>
      </c>
      <c r="G144" s="2" t="n">
        <v>4</v>
      </c>
      <c r="H144" s="2" t="n">
        <v>3</v>
      </c>
      <c r="I144" s="2" t="n">
        <v>3</v>
      </c>
      <c r="J144" s="2" t="n">
        <v>4</v>
      </c>
      <c r="K144" s="2" t="n">
        <v>2</v>
      </c>
      <c r="L144" s="2" t="n">
        <v>3</v>
      </c>
      <c r="M144" s="2" t="n">
        <v>4</v>
      </c>
      <c r="N144" s="2" t="n">
        <v>6</v>
      </c>
      <c r="O144" s="2" t="s">
        <v>21</v>
      </c>
      <c r="P144" s="2" t="s">
        <v>35</v>
      </c>
      <c r="Q144" s="2" t="s">
        <v>94</v>
      </c>
    </row>
    <row r="145" customFormat="false" ht="15" hidden="false" customHeight="false" outlineLevel="0" collapsed="false">
      <c r="A145" s="2" t="s">
        <v>243</v>
      </c>
      <c r="B145" s="3" t="n">
        <v>46223</v>
      </c>
      <c r="C145" s="2" t="s">
        <v>244</v>
      </c>
      <c r="D145" s="2" t="s">
        <v>33</v>
      </c>
      <c r="E145" s="2" t="s">
        <v>25</v>
      </c>
      <c r="F145" s="2" t="n">
        <v>5</v>
      </c>
      <c r="G145" s="2" t="n">
        <v>4</v>
      </c>
      <c r="H145" s="2" t="n">
        <v>2</v>
      </c>
      <c r="I145" s="2" t="n">
        <v>5</v>
      </c>
      <c r="J145" s="2" t="n">
        <v>4</v>
      </c>
      <c r="K145" s="2" t="n">
        <v>3</v>
      </c>
      <c r="L145" s="2" t="n">
        <v>2</v>
      </c>
      <c r="M145" s="2" t="n">
        <v>4</v>
      </c>
      <c r="N145" s="2" t="n">
        <v>5</v>
      </c>
      <c r="O145" s="2" t="s">
        <v>26</v>
      </c>
      <c r="P145" s="2" t="s">
        <v>90</v>
      </c>
      <c r="Q145" s="2" t="s">
        <v>27</v>
      </c>
    </row>
    <row r="146" customFormat="false" ht="15" hidden="false" customHeight="false" outlineLevel="0" collapsed="false">
      <c r="A146" s="2" t="s">
        <v>245</v>
      </c>
      <c r="B146" s="3" t="n">
        <v>46224</v>
      </c>
      <c r="C146" s="2" t="s">
        <v>83</v>
      </c>
      <c r="D146" s="2" t="s">
        <v>19</v>
      </c>
      <c r="E146" s="2" t="s">
        <v>39</v>
      </c>
      <c r="F146" s="2" t="n">
        <v>4</v>
      </c>
      <c r="G146" s="2" t="n">
        <v>4</v>
      </c>
      <c r="H146" s="2" t="n">
        <v>4</v>
      </c>
      <c r="I146" s="2" t="n">
        <v>3</v>
      </c>
      <c r="J146" s="2" t="n">
        <v>3</v>
      </c>
      <c r="K146" s="2" t="n">
        <v>4</v>
      </c>
      <c r="L146" s="2" t="n">
        <v>4</v>
      </c>
      <c r="M146" s="2" t="n">
        <v>5</v>
      </c>
      <c r="N146" s="2" t="n">
        <v>8</v>
      </c>
      <c r="O146" s="2" t="s">
        <v>21</v>
      </c>
      <c r="P146" s="2" t="s">
        <v>98</v>
      </c>
      <c r="Q146" s="2" t="s">
        <v>30</v>
      </c>
    </row>
    <row r="147" customFormat="false" ht="15" hidden="false" customHeight="false" outlineLevel="0" collapsed="false">
      <c r="A147" s="2" t="s">
        <v>246</v>
      </c>
      <c r="B147" s="3" t="n">
        <v>46211</v>
      </c>
      <c r="C147" s="2" t="s">
        <v>103</v>
      </c>
      <c r="D147" s="2" t="s">
        <v>19</v>
      </c>
      <c r="E147" s="2" t="s">
        <v>39</v>
      </c>
      <c r="F147" s="2" t="n">
        <v>4</v>
      </c>
      <c r="G147" s="2" t="n">
        <v>4</v>
      </c>
      <c r="H147" s="2" t="n">
        <v>3</v>
      </c>
      <c r="I147" s="2" t="n">
        <v>5</v>
      </c>
      <c r="J147" s="2" t="n">
        <v>4</v>
      </c>
      <c r="K147" s="2" t="n">
        <v>2</v>
      </c>
      <c r="L147" s="2" t="n">
        <v>2</v>
      </c>
      <c r="M147" s="2" t="n">
        <v>4</v>
      </c>
      <c r="N147" s="2" t="n">
        <v>6</v>
      </c>
      <c r="O147" s="2" t="s">
        <v>21</v>
      </c>
      <c r="P147" s="2" t="s">
        <v>78</v>
      </c>
      <c r="Q147" s="2" t="s">
        <v>101</v>
      </c>
    </row>
    <row r="148" customFormat="false" ht="15" hidden="false" customHeight="false" outlineLevel="0" collapsed="false">
      <c r="A148" s="2" t="s">
        <v>247</v>
      </c>
      <c r="B148" s="3" t="n">
        <v>46227</v>
      </c>
      <c r="C148" s="2" t="s">
        <v>18</v>
      </c>
      <c r="D148" s="2" t="s">
        <v>19</v>
      </c>
      <c r="E148" s="2" t="s">
        <v>20</v>
      </c>
      <c r="F148" s="2" t="n">
        <v>2</v>
      </c>
      <c r="G148" s="2" t="n">
        <v>3</v>
      </c>
      <c r="H148" s="2" t="n">
        <v>1</v>
      </c>
      <c r="I148" s="2" t="n">
        <v>3</v>
      </c>
      <c r="J148" s="2" t="n">
        <v>2</v>
      </c>
      <c r="K148" s="2" t="n">
        <v>2</v>
      </c>
      <c r="L148" s="2" t="n">
        <v>2</v>
      </c>
      <c r="M148" s="2" t="n">
        <v>3</v>
      </c>
      <c r="N148" s="2" t="n">
        <v>3</v>
      </c>
      <c r="O148" s="2" t="s">
        <v>26</v>
      </c>
      <c r="P148" s="2"/>
      <c r="Q148" s="2" t="s">
        <v>94</v>
      </c>
    </row>
    <row r="149" customFormat="false" ht="15" hidden="false" customHeight="false" outlineLevel="0" collapsed="false">
      <c r="A149" s="2" t="s">
        <v>248</v>
      </c>
      <c r="B149" s="3" t="n">
        <v>46210</v>
      </c>
      <c r="C149" s="2" t="s">
        <v>100</v>
      </c>
      <c r="D149" s="2" t="s">
        <v>19</v>
      </c>
      <c r="E149" s="2" t="s">
        <v>25</v>
      </c>
      <c r="F149" s="2" t="n">
        <v>3</v>
      </c>
      <c r="G149" s="2" t="n">
        <v>1</v>
      </c>
      <c r="H149" s="2" t="n">
        <v>3</v>
      </c>
      <c r="I149" s="2" t="n">
        <v>3</v>
      </c>
      <c r="J149" s="2" t="n">
        <v>3</v>
      </c>
      <c r="K149" s="2" t="n">
        <v>2</v>
      </c>
      <c r="L149" s="2" t="n">
        <v>1</v>
      </c>
      <c r="M149" s="2" t="n">
        <v>2</v>
      </c>
      <c r="N149" s="2" t="n">
        <v>5</v>
      </c>
      <c r="O149" s="2" t="s">
        <v>21</v>
      </c>
      <c r="P149" s="2"/>
      <c r="Q149" s="2" t="s">
        <v>30</v>
      </c>
    </row>
    <row r="150" customFormat="false" ht="15" hidden="false" customHeight="false" outlineLevel="0" collapsed="false">
      <c r="A150" s="2" t="s">
        <v>249</v>
      </c>
      <c r="B150" s="3" t="n">
        <v>46215</v>
      </c>
      <c r="C150" s="2" t="s">
        <v>45</v>
      </c>
      <c r="D150" s="2" t="s">
        <v>19</v>
      </c>
      <c r="E150" s="2" t="s">
        <v>20</v>
      </c>
      <c r="F150" s="2" t="n">
        <v>4</v>
      </c>
      <c r="G150" s="2" t="n">
        <v>4</v>
      </c>
      <c r="H150" s="2" t="n">
        <v>1</v>
      </c>
      <c r="I150" s="2" t="n">
        <v>4</v>
      </c>
      <c r="J150" s="2" t="n">
        <v>4</v>
      </c>
      <c r="K150" s="2" t="n">
        <v>3</v>
      </c>
      <c r="L150" s="2" t="n">
        <v>3</v>
      </c>
      <c r="M150" s="2" t="n">
        <v>3</v>
      </c>
      <c r="N150" s="2" t="n">
        <v>6</v>
      </c>
      <c r="O150" s="2" t="s">
        <v>26</v>
      </c>
      <c r="P150" s="2" t="s">
        <v>35</v>
      </c>
      <c r="Q150" s="2" t="s">
        <v>48</v>
      </c>
    </row>
    <row r="151" customFormat="false" ht="15" hidden="false" customHeight="false" outlineLevel="0" collapsed="false">
      <c r="A151" s="2" t="s">
        <v>250</v>
      </c>
      <c r="B151" s="3" t="n">
        <v>46216</v>
      </c>
      <c r="C151" s="2" t="s">
        <v>62</v>
      </c>
      <c r="D151" s="2" t="s">
        <v>19</v>
      </c>
      <c r="E151" s="2" t="s">
        <v>39</v>
      </c>
      <c r="F151" s="2" t="n">
        <v>3</v>
      </c>
      <c r="G151" s="2" t="n">
        <v>3</v>
      </c>
      <c r="H151" s="2" t="n">
        <v>3</v>
      </c>
      <c r="I151" s="2" t="n">
        <v>4</v>
      </c>
      <c r="J151" s="2" t="n">
        <v>4</v>
      </c>
      <c r="K151" s="2" t="n">
        <v>3</v>
      </c>
      <c r="L151" s="2" t="n">
        <v>3</v>
      </c>
      <c r="M151" s="2" t="n">
        <v>3</v>
      </c>
      <c r="N151" s="2" t="n">
        <v>7</v>
      </c>
      <c r="O151" s="2" t="s">
        <v>21</v>
      </c>
      <c r="P151" s="2" t="s">
        <v>58</v>
      </c>
      <c r="Q151" s="2" t="s">
        <v>22</v>
      </c>
    </row>
    <row r="152" customFormat="false" ht="15" hidden="false" customHeight="false" outlineLevel="0" collapsed="false">
      <c r="A152" s="2" t="s">
        <v>251</v>
      </c>
      <c r="B152" s="3" t="n">
        <v>46223</v>
      </c>
      <c r="C152" s="2" t="s">
        <v>41</v>
      </c>
      <c r="D152" s="2" t="s">
        <v>19</v>
      </c>
      <c r="E152" s="2" t="s">
        <v>25</v>
      </c>
      <c r="F152" s="2" t="n">
        <v>3</v>
      </c>
      <c r="G152" s="2" t="n">
        <v>2</v>
      </c>
      <c r="H152" s="2" t="n">
        <v>2</v>
      </c>
      <c r="I152" s="2" t="n">
        <v>3</v>
      </c>
      <c r="J152" s="2" t="n">
        <v>2</v>
      </c>
      <c r="K152" s="2" t="n">
        <v>3</v>
      </c>
      <c r="L152" s="2" t="n">
        <v>1</v>
      </c>
      <c r="M152" s="2" t="n">
        <v>3</v>
      </c>
      <c r="N152" s="2" t="n">
        <v>5</v>
      </c>
      <c r="O152" s="2" t="s">
        <v>21</v>
      </c>
      <c r="P152" s="2"/>
      <c r="Q152" s="2" t="s">
        <v>65</v>
      </c>
    </row>
    <row r="153" customFormat="false" ht="15" hidden="false" customHeight="false" outlineLevel="0" collapsed="false">
      <c r="A153" s="2" t="s">
        <v>252</v>
      </c>
      <c r="B153" s="3" t="n">
        <v>46221</v>
      </c>
      <c r="C153" s="2" t="s">
        <v>83</v>
      </c>
      <c r="D153" s="2" t="s">
        <v>19</v>
      </c>
      <c r="E153" s="2" t="s">
        <v>20</v>
      </c>
      <c r="F153" s="2" t="n">
        <v>5</v>
      </c>
      <c r="G153" s="2" t="n">
        <v>4</v>
      </c>
      <c r="H153" s="2" t="n">
        <v>3</v>
      </c>
      <c r="I153" s="2" t="n">
        <v>3</v>
      </c>
      <c r="J153" s="2" t="n">
        <v>4</v>
      </c>
      <c r="K153" s="2" t="n">
        <v>4</v>
      </c>
      <c r="L153" s="2" t="n">
        <v>5</v>
      </c>
      <c r="M153" s="2" t="n">
        <v>4</v>
      </c>
      <c r="N153" s="2" t="n">
        <v>8</v>
      </c>
      <c r="O153" s="2" t="s">
        <v>26</v>
      </c>
      <c r="P153" s="2" t="s">
        <v>71</v>
      </c>
      <c r="Q153" s="2" t="s">
        <v>43</v>
      </c>
    </row>
    <row r="154" customFormat="false" ht="15" hidden="false" customHeight="false" outlineLevel="0" collapsed="false">
      <c r="A154" s="2" t="s">
        <v>253</v>
      </c>
      <c r="B154" s="3" t="n">
        <v>46220</v>
      </c>
      <c r="C154" s="2" t="s">
        <v>130</v>
      </c>
      <c r="D154" s="2" t="s">
        <v>33</v>
      </c>
      <c r="E154" s="2" t="s">
        <v>20</v>
      </c>
      <c r="F154" s="2" t="n">
        <v>3</v>
      </c>
      <c r="G154" s="2" t="n">
        <v>2</v>
      </c>
      <c r="H154" s="2" t="n">
        <v>4</v>
      </c>
      <c r="I154" s="2" t="n">
        <v>2</v>
      </c>
      <c r="J154" s="2" t="n">
        <v>2</v>
      </c>
      <c r="K154" s="2" t="n">
        <v>3</v>
      </c>
      <c r="L154" s="2" t="n">
        <v>2</v>
      </c>
      <c r="M154" s="2" t="n">
        <v>4</v>
      </c>
      <c r="N154" s="2" t="n">
        <v>4</v>
      </c>
      <c r="O154" s="2" t="s">
        <v>26</v>
      </c>
      <c r="P154" s="2"/>
      <c r="Q154" s="2" t="s">
        <v>36</v>
      </c>
    </row>
    <row r="155" customFormat="false" ht="15" hidden="false" customHeight="false" outlineLevel="0" collapsed="false">
      <c r="A155" s="2" t="s">
        <v>254</v>
      </c>
      <c r="B155" s="3" t="n">
        <v>46225</v>
      </c>
      <c r="C155" s="2" t="s">
        <v>57</v>
      </c>
      <c r="D155" s="2" t="s">
        <v>33</v>
      </c>
      <c r="E155" s="2" t="s">
        <v>39</v>
      </c>
      <c r="F155" s="2" t="n">
        <v>4</v>
      </c>
      <c r="G155" s="2" t="n">
        <v>3</v>
      </c>
      <c r="H155" s="2" t="n">
        <v>4</v>
      </c>
      <c r="I155" s="2" t="n">
        <v>5</v>
      </c>
      <c r="J155" s="2" t="n">
        <v>1</v>
      </c>
      <c r="K155" s="2" t="n">
        <v>3</v>
      </c>
      <c r="L155" s="2" t="n">
        <v>3</v>
      </c>
      <c r="M155" s="2" t="n">
        <v>2</v>
      </c>
      <c r="N155" s="2" t="n">
        <v>5</v>
      </c>
      <c r="O155" s="2" t="s">
        <v>21</v>
      </c>
      <c r="P155" s="2" t="s">
        <v>78</v>
      </c>
      <c r="Q155" s="2" t="s">
        <v>36</v>
      </c>
    </row>
    <row r="156" customFormat="false" ht="15" hidden="false" customHeight="false" outlineLevel="0" collapsed="false">
      <c r="A156" s="2" t="s">
        <v>255</v>
      </c>
      <c r="B156" s="3" t="n">
        <v>46220</v>
      </c>
      <c r="C156" s="2" t="s">
        <v>100</v>
      </c>
      <c r="D156" s="2" t="s">
        <v>19</v>
      </c>
      <c r="E156" s="2" t="s">
        <v>39</v>
      </c>
      <c r="F156" s="2" t="n">
        <v>5</v>
      </c>
      <c r="G156" s="2" t="n">
        <v>3</v>
      </c>
      <c r="H156" s="2" t="n">
        <v>3</v>
      </c>
      <c r="I156" s="2" t="n">
        <v>5</v>
      </c>
      <c r="J156" s="2" t="n">
        <v>2</v>
      </c>
      <c r="K156" s="2" t="n">
        <v>3</v>
      </c>
      <c r="L156" s="2" t="n">
        <v>4</v>
      </c>
      <c r="M156" s="2" t="n">
        <v>4</v>
      </c>
      <c r="N156" s="2" t="n">
        <v>7</v>
      </c>
      <c r="O156" s="2" t="s">
        <v>26</v>
      </c>
      <c r="P156" s="2" t="s">
        <v>69</v>
      </c>
      <c r="Q156" s="2"/>
    </row>
    <row r="157" customFormat="false" ht="15" hidden="false" customHeight="false" outlineLevel="0" collapsed="false">
      <c r="A157" s="2" t="s">
        <v>256</v>
      </c>
      <c r="B157" s="3" t="n">
        <v>46220</v>
      </c>
      <c r="C157" s="2" t="s">
        <v>67</v>
      </c>
      <c r="D157" s="2" t="s">
        <v>19</v>
      </c>
      <c r="E157" s="2" t="s">
        <v>34</v>
      </c>
      <c r="F157" s="2" t="n">
        <v>5</v>
      </c>
      <c r="G157" s="2" t="n">
        <v>3</v>
      </c>
      <c r="H157" s="2" t="n">
        <v>3</v>
      </c>
      <c r="I157" s="2" t="n">
        <v>5</v>
      </c>
      <c r="J157" s="2" t="n">
        <v>4</v>
      </c>
      <c r="K157" s="2" t="n">
        <v>4</v>
      </c>
      <c r="L157" s="2" t="n">
        <v>5</v>
      </c>
      <c r="M157" s="2" t="n">
        <v>5</v>
      </c>
      <c r="N157" s="2" t="n">
        <v>8</v>
      </c>
      <c r="O157" s="2" t="s">
        <v>26</v>
      </c>
      <c r="P157" s="2" t="s">
        <v>69</v>
      </c>
      <c r="Q157" s="2"/>
    </row>
    <row r="158" customFormat="false" ht="15" hidden="false" customHeight="false" outlineLevel="0" collapsed="false">
      <c r="A158" s="2" t="s">
        <v>257</v>
      </c>
      <c r="B158" s="3" t="n">
        <v>46226</v>
      </c>
      <c r="C158" s="2" t="s">
        <v>258</v>
      </c>
      <c r="D158" s="2" t="s">
        <v>19</v>
      </c>
      <c r="E158" s="2" t="s">
        <v>39</v>
      </c>
      <c r="F158" s="2" t="n">
        <v>4</v>
      </c>
      <c r="G158" s="2" t="n">
        <v>4</v>
      </c>
      <c r="H158" s="2" t="n">
        <v>3</v>
      </c>
      <c r="I158" s="2" t="n">
        <v>2</v>
      </c>
      <c r="J158" s="2" t="n">
        <v>4</v>
      </c>
      <c r="K158" s="2" t="n">
        <v>3</v>
      </c>
      <c r="L158" s="2" t="n">
        <v>2</v>
      </c>
      <c r="M158" s="2" t="n">
        <v>4</v>
      </c>
      <c r="N158" s="2" t="n">
        <v>7</v>
      </c>
      <c r="O158" s="2" t="s">
        <v>21</v>
      </c>
      <c r="P158" s="2" t="s">
        <v>35</v>
      </c>
      <c r="Q158" s="2" t="s">
        <v>27</v>
      </c>
    </row>
    <row r="159" customFormat="false" ht="15" hidden="false" customHeight="false" outlineLevel="0" collapsed="false">
      <c r="A159" s="2" t="s">
        <v>259</v>
      </c>
      <c r="B159" s="3" t="n">
        <v>46209</v>
      </c>
      <c r="C159" s="2" t="s">
        <v>152</v>
      </c>
      <c r="D159" s="2" t="s">
        <v>19</v>
      </c>
      <c r="E159" s="2" t="s">
        <v>20</v>
      </c>
      <c r="F159" s="2" t="n">
        <v>3</v>
      </c>
      <c r="G159" s="2" t="n">
        <v>1</v>
      </c>
      <c r="H159" s="2" t="n">
        <v>2</v>
      </c>
      <c r="I159" s="2" t="n">
        <v>1</v>
      </c>
      <c r="J159" s="2" t="n">
        <v>1</v>
      </c>
      <c r="K159" s="2" t="n">
        <v>2</v>
      </c>
      <c r="L159" s="2" t="n">
        <v>1</v>
      </c>
      <c r="M159" s="2" t="n">
        <v>1</v>
      </c>
      <c r="N159" s="2" t="n">
        <v>1</v>
      </c>
      <c r="O159" s="2" t="s">
        <v>21</v>
      </c>
      <c r="P159" s="2" t="s">
        <v>81</v>
      </c>
      <c r="Q159" s="2" t="s">
        <v>27</v>
      </c>
    </row>
  </sheetData>
  <autoFilter ref="A1:Q1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4" t="s">
        <v>260</v>
      </c>
      <c r="B1" s="4" t="s">
        <v>261</v>
      </c>
      <c r="C1" s="4" t="s">
        <v>262</v>
      </c>
    </row>
    <row r="2" customFormat="false" ht="15" hidden="false" customHeight="false" outlineLevel="0" collapsed="false">
      <c r="A2" s="2" t="s">
        <v>5</v>
      </c>
      <c r="B2" s="2" t="s">
        <v>263</v>
      </c>
      <c r="C2" s="2" t="s">
        <v>264</v>
      </c>
    </row>
    <row r="3" customFormat="false" ht="15" hidden="false" customHeight="false" outlineLevel="0" collapsed="false">
      <c r="A3" s="2" t="s">
        <v>6</v>
      </c>
      <c r="B3" s="2" t="s">
        <v>265</v>
      </c>
      <c r="C3" s="2" t="s">
        <v>264</v>
      </c>
    </row>
    <row r="4" customFormat="false" ht="15" hidden="false" customHeight="false" outlineLevel="0" collapsed="false">
      <c r="A4" s="2" t="s">
        <v>7</v>
      </c>
      <c r="B4" s="2" t="s">
        <v>266</v>
      </c>
      <c r="C4" s="2" t="s">
        <v>264</v>
      </c>
    </row>
    <row r="5" customFormat="false" ht="15" hidden="false" customHeight="false" outlineLevel="0" collapsed="false">
      <c r="A5" s="2" t="s">
        <v>8</v>
      </c>
      <c r="B5" s="2" t="s">
        <v>267</v>
      </c>
      <c r="C5" s="2" t="s">
        <v>264</v>
      </c>
    </row>
    <row r="6" customFormat="false" ht="15" hidden="false" customHeight="false" outlineLevel="0" collapsed="false">
      <c r="A6" s="2" t="s">
        <v>9</v>
      </c>
      <c r="B6" s="2" t="s">
        <v>268</v>
      </c>
      <c r="C6" s="2" t="s">
        <v>264</v>
      </c>
    </row>
    <row r="7" customFormat="false" ht="15" hidden="false" customHeight="false" outlineLevel="0" collapsed="false">
      <c r="A7" s="2" t="s">
        <v>10</v>
      </c>
      <c r="B7" s="2" t="s">
        <v>269</v>
      </c>
      <c r="C7" s="2" t="s">
        <v>264</v>
      </c>
    </row>
    <row r="8" customFormat="false" ht="15" hidden="false" customHeight="false" outlineLevel="0" collapsed="false">
      <c r="A8" s="2" t="s">
        <v>11</v>
      </c>
      <c r="B8" s="2" t="s">
        <v>270</v>
      </c>
      <c r="C8" s="2" t="s">
        <v>264</v>
      </c>
    </row>
    <row r="9" customFormat="false" ht="15" hidden="false" customHeight="false" outlineLevel="0" collapsed="false">
      <c r="A9" s="2" t="s">
        <v>12</v>
      </c>
      <c r="B9" s="2" t="s">
        <v>271</v>
      </c>
      <c r="C9" s="2" t="s">
        <v>264</v>
      </c>
    </row>
    <row r="10" customFormat="false" ht="15" hidden="false" customHeight="false" outlineLevel="0" collapsed="false">
      <c r="A10" s="2" t="s">
        <v>13</v>
      </c>
      <c r="B10" s="2" t="s">
        <v>272</v>
      </c>
      <c r="C10" s="2" t="s">
        <v>273</v>
      </c>
    </row>
    <row r="11" customFormat="false" ht="15" hidden="false" customHeight="false" outlineLevel="0" collapsed="false">
      <c r="A11" s="2" t="s">
        <v>14</v>
      </c>
      <c r="B11" s="2" t="s">
        <v>274</v>
      </c>
      <c r="C11" s="2" t="s">
        <v>275</v>
      </c>
    </row>
    <row r="12" customFormat="false" ht="15" hidden="false" customHeight="false" outlineLevel="0" collapsed="false">
      <c r="A12" s="2" t="s">
        <v>15</v>
      </c>
      <c r="B12" s="2" t="s">
        <v>276</v>
      </c>
      <c r="C12" s="2" t="s">
        <v>277</v>
      </c>
    </row>
    <row r="13" customFormat="false" ht="15" hidden="false" customHeight="false" outlineLevel="0" collapsed="false">
      <c r="A13" s="2" t="s">
        <v>16</v>
      </c>
      <c r="B13" s="2" t="s">
        <v>278</v>
      </c>
      <c r="C13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1" min="2" style="0" width="11"/>
  </cols>
  <sheetData>
    <row r="1" customFormat="false" ht="42" hidden="false" customHeight="true" outlineLevel="0" collapsed="false">
      <c r="A1" s="5" t="s">
        <v>2</v>
      </c>
      <c r="B1" s="5" t="s">
        <v>279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280</v>
      </c>
    </row>
    <row r="2" customFormat="false" ht="15" hidden="false" customHeight="false" outlineLevel="0" collapsed="false">
      <c r="A2" s="2" t="s">
        <v>53</v>
      </c>
      <c r="B2" s="2" t="n">
        <f aca="false">COUNTIF(Responses!$C$2:$C$159,A2)</f>
        <v>2</v>
      </c>
      <c r="C2" s="2" t="n">
        <f aca="false">IFERROR(ROUND(AVERAGEIF(Responses!$C$2:$C$159,$A2,Responses!F$2:F$159),2),"")</f>
        <v>4</v>
      </c>
      <c r="D2" s="2" t="n">
        <f aca="false">IFERROR(ROUND(AVERAGEIF(Responses!$C$2:$C$159,$A2,Responses!G$2:G$159),2),"")</f>
        <v>4</v>
      </c>
      <c r="E2" s="2" t="n">
        <f aca="false">IFERROR(ROUND(AVERAGEIF(Responses!$C$2:$C$159,$A2,Responses!H$2:H$159),2),"")</f>
        <v>4</v>
      </c>
      <c r="F2" s="2" t="n">
        <f aca="false">IFERROR(ROUND(AVERAGEIF(Responses!$C$2:$C$159,$A2,Responses!I$2:I$159),2),"")</f>
        <v>3</v>
      </c>
      <c r="G2" s="2" t="n">
        <f aca="false">IFERROR(ROUND(AVERAGEIF(Responses!$C$2:$C$159,$A2,Responses!J$2:J$159),2),"")</f>
        <v>3</v>
      </c>
      <c r="H2" s="2" t="n">
        <f aca="false">IFERROR(ROUND(AVERAGEIF(Responses!$C$2:$C$159,$A2,Responses!K$2:K$159),2),"")</f>
        <v>2.5</v>
      </c>
      <c r="I2" s="2" t="n">
        <f aca="false">IFERROR(ROUND(AVERAGEIF(Responses!$C$2:$C$159,$A2,Responses!L$2:L$159),2),"")</f>
        <v>2</v>
      </c>
      <c r="J2" s="2" t="n">
        <f aca="false">IFERROR(ROUND(AVERAGEIF(Responses!$C$2:$C$159,$A2,Responses!M$2:M$159),2),"")</f>
        <v>4.5</v>
      </c>
      <c r="K2" s="2" t="n">
        <f aca="false">IFERROR(ROUND(AVERAGEIF(Responses!$C$2:$C$159,$A2,Responses!N$2:N$159),2),"")</f>
        <v>5</v>
      </c>
    </row>
    <row r="3" customFormat="false" ht="15" hidden="false" customHeight="false" outlineLevel="0" collapsed="false">
      <c r="A3" s="2" t="s">
        <v>57</v>
      </c>
      <c r="B3" s="2" t="n">
        <f aca="false">COUNTIF(Responses!$C$2:$C$159,A3)</f>
        <v>8</v>
      </c>
      <c r="C3" s="2" t="n">
        <f aca="false">IFERROR(ROUND(AVERAGEIF(Responses!$C$2:$C$159,$A3,Responses!F$2:F$159),2),"")</f>
        <v>3.5</v>
      </c>
      <c r="D3" s="2" t="n">
        <f aca="false">IFERROR(ROUND(AVERAGEIF(Responses!$C$2:$C$159,$A3,Responses!G$2:G$159),2),"")</f>
        <v>2.88</v>
      </c>
      <c r="E3" s="2" t="n">
        <f aca="false">IFERROR(ROUND(AVERAGEIF(Responses!$C$2:$C$159,$A3,Responses!H$2:H$159),2),"")</f>
        <v>2.88</v>
      </c>
      <c r="F3" s="2" t="n">
        <f aca="false">IFERROR(ROUND(AVERAGEIF(Responses!$C$2:$C$159,$A3,Responses!I$2:I$159),2),"")</f>
        <v>3</v>
      </c>
      <c r="G3" s="2" t="n">
        <f aca="false">IFERROR(ROUND(AVERAGEIF(Responses!$C$2:$C$159,$A3,Responses!J$2:J$159),2),"")</f>
        <v>2.75</v>
      </c>
      <c r="H3" s="2" t="n">
        <f aca="false">IFERROR(ROUND(AVERAGEIF(Responses!$C$2:$C$159,$A3,Responses!K$2:K$159),2),"")</f>
        <v>2.63</v>
      </c>
      <c r="I3" s="2" t="n">
        <f aca="false">IFERROR(ROUND(AVERAGEIF(Responses!$C$2:$C$159,$A3,Responses!L$2:L$159),2),"")</f>
        <v>2.88</v>
      </c>
      <c r="J3" s="2" t="n">
        <f aca="false">IFERROR(ROUND(AVERAGEIF(Responses!$C$2:$C$159,$A3,Responses!M$2:M$159),2),"")</f>
        <v>2.88</v>
      </c>
      <c r="K3" s="2" t="n">
        <f aca="false">IFERROR(ROUND(AVERAGEIF(Responses!$C$2:$C$159,$A3,Responses!N$2:N$159),2),"")</f>
        <v>5.13</v>
      </c>
    </row>
    <row r="4" customFormat="false" ht="15" hidden="false" customHeight="false" outlineLevel="0" collapsed="false">
      <c r="A4" s="2" t="s">
        <v>93</v>
      </c>
      <c r="B4" s="2" t="n">
        <f aca="false">COUNTIF(Responses!$C$2:$C$159,A4)</f>
        <v>1</v>
      </c>
      <c r="C4" s="2" t="n">
        <f aca="false">IFERROR(ROUND(AVERAGEIF(Responses!$C$2:$C$159,$A4,Responses!F$2:F$159),2),"")</f>
        <v>4</v>
      </c>
      <c r="D4" s="2" t="n">
        <f aca="false">IFERROR(ROUND(AVERAGEIF(Responses!$C$2:$C$159,$A4,Responses!G$2:G$159),2),"")</f>
        <v>4</v>
      </c>
      <c r="E4" s="2" t="n">
        <f aca="false">IFERROR(ROUND(AVERAGEIF(Responses!$C$2:$C$159,$A4,Responses!H$2:H$159),2),"")</f>
        <v>3</v>
      </c>
      <c r="F4" s="2" t="n">
        <f aca="false">IFERROR(ROUND(AVERAGEIF(Responses!$C$2:$C$159,$A4,Responses!I$2:I$159),2),"")</f>
        <v>4</v>
      </c>
      <c r="G4" s="2" t="n">
        <f aca="false">IFERROR(ROUND(AVERAGEIF(Responses!$C$2:$C$159,$A4,Responses!J$2:J$159),2),"")</f>
        <v>4</v>
      </c>
      <c r="H4" s="2" t="n">
        <f aca="false">IFERROR(ROUND(AVERAGEIF(Responses!$C$2:$C$159,$A4,Responses!K$2:K$159),2),"")</f>
        <v>3</v>
      </c>
      <c r="I4" s="2" t="n">
        <f aca="false">IFERROR(ROUND(AVERAGEIF(Responses!$C$2:$C$159,$A4,Responses!L$2:L$159),2),"")</f>
        <v>4</v>
      </c>
      <c r="J4" s="2" t="n">
        <f aca="false">IFERROR(ROUND(AVERAGEIF(Responses!$C$2:$C$159,$A4,Responses!M$2:M$159),2),"")</f>
        <v>4</v>
      </c>
      <c r="K4" s="2" t="n">
        <f aca="false">IFERROR(ROUND(AVERAGEIF(Responses!$C$2:$C$159,$A4,Responses!N$2:N$159),2),"")</f>
        <v>6</v>
      </c>
    </row>
    <row r="5" customFormat="false" ht="15" hidden="false" customHeight="false" outlineLevel="0" collapsed="false">
      <c r="A5" s="2" t="s">
        <v>41</v>
      </c>
      <c r="B5" s="2" t="n">
        <f aca="false">COUNTIF(Responses!$C$2:$C$159,A5)</f>
        <v>9</v>
      </c>
      <c r="C5" s="2" t="n">
        <f aca="false">IFERROR(ROUND(AVERAGEIF(Responses!$C$2:$C$159,$A5,Responses!F$2:F$159),2),"")</f>
        <v>3.11</v>
      </c>
      <c r="D5" s="2" t="n">
        <f aca="false">IFERROR(ROUND(AVERAGEIF(Responses!$C$2:$C$159,$A5,Responses!G$2:G$159),2),"")</f>
        <v>3.11</v>
      </c>
      <c r="E5" s="2" t="n">
        <f aca="false">IFERROR(ROUND(AVERAGEIF(Responses!$C$2:$C$159,$A5,Responses!H$2:H$159),2),"")</f>
        <v>2.78</v>
      </c>
      <c r="F5" s="2" t="n">
        <f aca="false">IFERROR(ROUND(AVERAGEIF(Responses!$C$2:$C$159,$A5,Responses!I$2:I$159),2),"")</f>
        <v>3</v>
      </c>
      <c r="G5" s="2" t="n">
        <f aca="false">IFERROR(ROUND(AVERAGEIF(Responses!$C$2:$C$159,$A5,Responses!J$2:J$159),2),"")</f>
        <v>3.11</v>
      </c>
      <c r="H5" s="2" t="n">
        <f aca="false">IFERROR(ROUND(AVERAGEIF(Responses!$C$2:$C$159,$A5,Responses!K$2:K$159),2),"")</f>
        <v>2.89</v>
      </c>
      <c r="I5" s="2" t="n">
        <f aca="false">IFERROR(ROUND(AVERAGEIF(Responses!$C$2:$C$159,$A5,Responses!L$2:L$159),2),"")</f>
        <v>2.67</v>
      </c>
      <c r="J5" s="2" t="n">
        <f aca="false">IFERROR(ROUND(AVERAGEIF(Responses!$C$2:$C$159,$A5,Responses!M$2:M$159),2),"")</f>
        <v>3.33</v>
      </c>
      <c r="K5" s="2" t="n">
        <f aca="false">IFERROR(ROUND(AVERAGEIF(Responses!$C$2:$C$159,$A5,Responses!N$2:N$159),2),"")</f>
        <v>6</v>
      </c>
    </row>
    <row r="6" customFormat="false" ht="15" hidden="false" customHeight="false" outlineLevel="0" collapsed="false">
      <c r="A6" s="2" t="s">
        <v>73</v>
      </c>
      <c r="B6" s="2" t="n">
        <f aca="false">COUNTIF(Responses!$C$2:$C$159,A6)</f>
        <v>5</v>
      </c>
      <c r="C6" s="2" t="n">
        <f aca="false">IFERROR(ROUND(AVERAGEIF(Responses!$C$2:$C$159,$A6,Responses!F$2:F$159),2),"")</f>
        <v>3.2</v>
      </c>
      <c r="D6" s="2" t="n">
        <f aca="false">IFERROR(ROUND(AVERAGEIF(Responses!$C$2:$C$159,$A6,Responses!G$2:G$159),2),"")</f>
        <v>3.4</v>
      </c>
      <c r="E6" s="2" t="n">
        <f aca="false">IFERROR(ROUND(AVERAGEIF(Responses!$C$2:$C$159,$A6,Responses!H$2:H$159),2),"")</f>
        <v>3.2</v>
      </c>
      <c r="F6" s="2" t="n">
        <f aca="false">IFERROR(ROUND(AVERAGEIF(Responses!$C$2:$C$159,$A6,Responses!I$2:I$159),2),"")</f>
        <v>2.8</v>
      </c>
      <c r="G6" s="2" t="n">
        <f aca="false">IFERROR(ROUND(AVERAGEIF(Responses!$C$2:$C$159,$A6,Responses!J$2:J$159),2),"")</f>
        <v>3.4</v>
      </c>
      <c r="H6" s="2" t="n">
        <f aca="false">IFERROR(ROUND(AVERAGEIF(Responses!$C$2:$C$159,$A6,Responses!K$2:K$159),2),"")</f>
        <v>2.8</v>
      </c>
      <c r="I6" s="2" t="n">
        <f aca="false">IFERROR(ROUND(AVERAGEIF(Responses!$C$2:$C$159,$A6,Responses!L$2:L$159),2),"")</f>
        <v>2</v>
      </c>
      <c r="J6" s="2" t="n">
        <f aca="false">IFERROR(ROUND(AVERAGEIF(Responses!$C$2:$C$159,$A6,Responses!M$2:M$159),2),"")</f>
        <v>2.8</v>
      </c>
      <c r="K6" s="2" t="n">
        <f aca="false">IFERROR(ROUND(AVERAGEIF(Responses!$C$2:$C$159,$A6,Responses!N$2:N$159),2),"")</f>
        <v>4.8</v>
      </c>
    </row>
    <row r="7" customFormat="false" ht="15" hidden="false" customHeight="false" outlineLevel="0" collapsed="false">
      <c r="A7" s="2" t="s">
        <v>83</v>
      </c>
      <c r="B7" s="2" t="n">
        <f aca="false">COUNTIF(Responses!$C$2:$C$159,A7)</f>
        <v>11</v>
      </c>
      <c r="C7" s="2" t="n">
        <f aca="false">IFERROR(ROUND(AVERAGEIF(Responses!$C$2:$C$159,$A7,Responses!F$2:F$159),2),"")</f>
        <v>3.73</v>
      </c>
      <c r="D7" s="2" t="n">
        <f aca="false">IFERROR(ROUND(AVERAGEIF(Responses!$C$2:$C$159,$A7,Responses!G$2:G$159),2),"")</f>
        <v>4.09</v>
      </c>
      <c r="E7" s="2" t="n">
        <f aca="false">IFERROR(ROUND(AVERAGEIF(Responses!$C$2:$C$159,$A7,Responses!H$2:H$159),2),"")</f>
        <v>3.36</v>
      </c>
      <c r="F7" s="2" t="n">
        <f aca="false">IFERROR(ROUND(AVERAGEIF(Responses!$C$2:$C$159,$A7,Responses!I$2:I$159),2),"")</f>
        <v>3.64</v>
      </c>
      <c r="G7" s="2" t="n">
        <f aca="false">IFERROR(ROUND(AVERAGEIF(Responses!$C$2:$C$159,$A7,Responses!J$2:J$159),2),"")</f>
        <v>3.73</v>
      </c>
      <c r="H7" s="2" t="n">
        <f aca="false">IFERROR(ROUND(AVERAGEIF(Responses!$C$2:$C$159,$A7,Responses!K$2:K$159),2),"")</f>
        <v>3.36</v>
      </c>
      <c r="I7" s="2" t="n">
        <f aca="false">IFERROR(ROUND(AVERAGEIF(Responses!$C$2:$C$159,$A7,Responses!L$2:L$159),2),"")</f>
        <v>3.36</v>
      </c>
      <c r="J7" s="2" t="n">
        <f aca="false">IFERROR(ROUND(AVERAGEIF(Responses!$C$2:$C$159,$A7,Responses!M$2:M$159),2),"")</f>
        <v>3.91</v>
      </c>
      <c r="K7" s="2" t="n">
        <f aca="false">IFERROR(ROUND(AVERAGEIF(Responses!$C$2:$C$159,$A7,Responses!N$2:N$159),2),"")</f>
        <v>6.73</v>
      </c>
    </row>
    <row r="8" customFormat="false" ht="15" hidden="false" customHeight="false" outlineLevel="0" collapsed="false">
      <c r="A8" s="2" t="s">
        <v>137</v>
      </c>
      <c r="B8" s="2" t="n">
        <f aca="false">COUNTIF(Responses!$C$2:$C$159,A8)</f>
        <v>1</v>
      </c>
      <c r="C8" s="2" t="n">
        <f aca="false">IFERROR(ROUND(AVERAGEIF(Responses!$C$2:$C$159,$A8,Responses!F$2:F$159),2),"")</f>
        <v>5</v>
      </c>
      <c r="D8" s="2" t="n">
        <f aca="false">IFERROR(ROUND(AVERAGEIF(Responses!$C$2:$C$159,$A8,Responses!G$2:G$159),2),"")</f>
        <v>4</v>
      </c>
      <c r="E8" s="2" t="n">
        <f aca="false">IFERROR(ROUND(AVERAGEIF(Responses!$C$2:$C$159,$A8,Responses!H$2:H$159),2),"")</f>
        <v>4</v>
      </c>
      <c r="F8" s="2" t="n">
        <f aca="false">IFERROR(ROUND(AVERAGEIF(Responses!$C$2:$C$159,$A8,Responses!I$2:I$159),2),"")</f>
        <v>5</v>
      </c>
      <c r="G8" s="2" t="n">
        <f aca="false">IFERROR(ROUND(AVERAGEIF(Responses!$C$2:$C$159,$A8,Responses!J$2:J$159),2),"")</f>
        <v>5</v>
      </c>
      <c r="H8" s="2" t="n">
        <f aca="false">IFERROR(ROUND(AVERAGEIF(Responses!$C$2:$C$159,$A8,Responses!K$2:K$159),2),"")</f>
        <v>3</v>
      </c>
      <c r="I8" s="2" t="n">
        <f aca="false">IFERROR(ROUND(AVERAGEIF(Responses!$C$2:$C$159,$A8,Responses!L$2:L$159),2),"")</f>
        <v>3</v>
      </c>
      <c r="J8" s="2" t="n">
        <f aca="false">IFERROR(ROUND(AVERAGEIF(Responses!$C$2:$C$159,$A8,Responses!M$2:M$159),2),"")</f>
        <v>4</v>
      </c>
      <c r="K8" s="2" t="n">
        <f aca="false">IFERROR(ROUND(AVERAGEIF(Responses!$C$2:$C$159,$A8,Responses!N$2:N$159),2),"")</f>
        <v>9</v>
      </c>
    </row>
    <row r="9" customFormat="false" ht="15" hidden="false" customHeight="false" outlineLevel="0" collapsed="false">
      <c r="A9" s="2" t="s">
        <v>89</v>
      </c>
      <c r="B9" s="2" t="n">
        <f aca="false">COUNTIF(Responses!$C$2:$C$159,A9)</f>
        <v>1</v>
      </c>
      <c r="C9" s="2" t="n">
        <f aca="false">IFERROR(ROUND(AVERAGEIF(Responses!$C$2:$C$159,$A9,Responses!F$2:F$159),2),"")</f>
        <v>5</v>
      </c>
      <c r="D9" s="2" t="n">
        <f aca="false">IFERROR(ROUND(AVERAGEIF(Responses!$C$2:$C$159,$A9,Responses!G$2:G$159),2),"")</f>
        <v>4</v>
      </c>
      <c r="E9" s="2" t="n">
        <f aca="false">IFERROR(ROUND(AVERAGEIF(Responses!$C$2:$C$159,$A9,Responses!H$2:H$159),2),"")</f>
        <v>4</v>
      </c>
      <c r="F9" s="2" t="n">
        <f aca="false">IFERROR(ROUND(AVERAGEIF(Responses!$C$2:$C$159,$A9,Responses!I$2:I$159),2),"")</f>
        <v>3</v>
      </c>
      <c r="G9" s="2" t="n">
        <f aca="false">IFERROR(ROUND(AVERAGEIF(Responses!$C$2:$C$159,$A9,Responses!J$2:J$159),2),"")</f>
        <v>3</v>
      </c>
      <c r="H9" s="2" t="n">
        <f aca="false">IFERROR(ROUND(AVERAGEIF(Responses!$C$2:$C$159,$A9,Responses!K$2:K$159),2),"")</f>
        <v>4</v>
      </c>
      <c r="I9" s="2" t="n">
        <f aca="false">IFERROR(ROUND(AVERAGEIF(Responses!$C$2:$C$159,$A9,Responses!L$2:L$159),2),"")</f>
        <v>4</v>
      </c>
      <c r="J9" s="2" t="n">
        <f aca="false">IFERROR(ROUND(AVERAGEIF(Responses!$C$2:$C$159,$A9,Responses!M$2:M$159),2),"")</f>
        <v>4</v>
      </c>
      <c r="K9" s="2" t="n">
        <f aca="false">IFERROR(ROUND(AVERAGEIF(Responses!$C$2:$C$159,$A9,Responses!N$2:N$159),2),"")</f>
        <v>7</v>
      </c>
    </row>
    <row r="10" customFormat="false" ht="15" hidden="false" customHeight="false" outlineLevel="0" collapsed="false">
      <c r="A10" s="2" t="s">
        <v>38</v>
      </c>
      <c r="B10" s="2" t="n">
        <f aca="false">COUNTIF(Responses!$C$2:$C$159,A10)</f>
        <v>4</v>
      </c>
      <c r="C10" s="2" t="n">
        <f aca="false">IFERROR(ROUND(AVERAGEIF(Responses!$C$2:$C$159,$A10,Responses!F$2:F$159),2),"")</f>
        <v>2.25</v>
      </c>
      <c r="D10" s="2" t="n">
        <f aca="false">IFERROR(ROUND(AVERAGEIF(Responses!$C$2:$C$159,$A10,Responses!G$2:G$159),2),"")</f>
        <v>2</v>
      </c>
      <c r="E10" s="2" t="n">
        <f aca="false">IFERROR(ROUND(AVERAGEIF(Responses!$C$2:$C$159,$A10,Responses!H$2:H$159),2),"")</f>
        <v>1.25</v>
      </c>
      <c r="F10" s="2" t="n">
        <f aca="false">IFERROR(ROUND(AVERAGEIF(Responses!$C$2:$C$159,$A10,Responses!I$2:I$159),2),"")</f>
        <v>2.25</v>
      </c>
      <c r="G10" s="2" t="n">
        <f aca="false">IFERROR(ROUND(AVERAGEIF(Responses!$C$2:$C$159,$A10,Responses!J$2:J$159),2),"")</f>
        <v>2</v>
      </c>
      <c r="H10" s="2" t="n">
        <f aca="false">IFERROR(ROUND(AVERAGEIF(Responses!$C$2:$C$159,$A10,Responses!K$2:K$159),2),"")</f>
        <v>1.25</v>
      </c>
      <c r="I10" s="2" t="n">
        <f aca="false">IFERROR(ROUND(AVERAGEIF(Responses!$C$2:$C$159,$A10,Responses!L$2:L$159),2),"")</f>
        <v>1.25</v>
      </c>
      <c r="J10" s="2" t="n">
        <f aca="false">IFERROR(ROUND(AVERAGEIF(Responses!$C$2:$C$159,$A10,Responses!M$2:M$159),2),"")</f>
        <v>2</v>
      </c>
      <c r="K10" s="2" t="n">
        <f aca="false">IFERROR(ROUND(AVERAGEIF(Responses!$C$2:$C$159,$A10,Responses!N$2:N$159),2),"")</f>
        <v>2</v>
      </c>
    </row>
    <row r="11" customFormat="false" ht="15" hidden="false" customHeight="false" outlineLevel="0" collapsed="false">
      <c r="A11" s="2" t="s">
        <v>50</v>
      </c>
      <c r="B11" s="2" t="n">
        <f aca="false">COUNTIF(Responses!$C$2:$C$159,A11)</f>
        <v>4</v>
      </c>
      <c r="C11" s="2" t="n">
        <f aca="false">IFERROR(ROUND(AVERAGEIF(Responses!$C$2:$C$159,$A11,Responses!F$2:F$159),2),"")</f>
        <v>2.25</v>
      </c>
      <c r="D11" s="2" t="n">
        <f aca="false">IFERROR(ROUND(AVERAGEIF(Responses!$C$2:$C$159,$A11,Responses!G$2:G$159),2),"")</f>
        <v>1.75</v>
      </c>
      <c r="E11" s="2" t="n">
        <f aca="false">IFERROR(ROUND(AVERAGEIF(Responses!$C$2:$C$159,$A11,Responses!H$2:H$159),2),"")</f>
        <v>2.5</v>
      </c>
      <c r="F11" s="2" t="n">
        <f aca="false">IFERROR(ROUND(AVERAGEIF(Responses!$C$2:$C$159,$A11,Responses!I$2:I$159),2),"")</f>
        <v>2</v>
      </c>
      <c r="G11" s="2" t="n">
        <f aca="false">IFERROR(ROUND(AVERAGEIF(Responses!$C$2:$C$159,$A11,Responses!J$2:J$159),2),"")</f>
        <v>2.5</v>
      </c>
      <c r="H11" s="2" t="n">
        <f aca="false">IFERROR(ROUND(AVERAGEIF(Responses!$C$2:$C$159,$A11,Responses!K$2:K$159),2),"")</f>
        <v>3</v>
      </c>
      <c r="I11" s="2" t="n">
        <f aca="false">IFERROR(ROUND(AVERAGEIF(Responses!$C$2:$C$159,$A11,Responses!L$2:L$159),2),"")</f>
        <v>1.5</v>
      </c>
      <c r="J11" s="2" t="n">
        <f aca="false">IFERROR(ROUND(AVERAGEIF(Responses!$C$2:$C$159,$A11,Responses!M$2:M$159),2),"")</f>
        <v>2</v>
      </c>
      <c r="K11" s="2" t="n">
        <f aca="false">IFERROR(ROUND(AVERAGEIF(Responses!$C$2:$C$159,$A11,Responses!N$2:N$159),2),"")</f>
        <v>3</v>
      </c>
    </row>
    <row r="12" customFormat="false" ht="15" hidden="false" customHeight="false" outlineLevel="0" collapsed="false">
      <c r="A12" s="2" t="s">
        <v>202</v>
      </c>
      <c r="B12" s="2" t="n">
        <f aca="false">COUNTIF(Responses!$C$2:$C$159,A12)</f>
        <v>1</v>
      </c>
      <c r="C12" s="2" t="n">
        <f aca="false">IFERROR(ROUND(AVERAGEIF(Responses!$C$2:$C$159,$A12,Responses!F$2:F$159),2),"")</f>
        <v>2</v>
      </c>
      <c r="D12" s="2" t="n">
        <f aca="false">IFERROR(ROUND(AVERAGEIF(Responses!$C$2:$C$159,$A12,Responses!G$2:G$159),2),"")</f>
        <v>3</v>
      </c>
      <c r="E12" s="2" t="n">
        <f aca="false">IFERROR(ROUND(AVERAGEIF(Responses!$C$2:$C$159,$A12,Responses!H$2:H$159),2),"")</f>
        <v>3</v>
      </c>
      <c r="F12" s="2" t="n">
        <f aca="false">IFERROR(ROUND(AVERAGEIF(Responses!$C$2:$C$159,$A12,Responses!I$2:I$159),2),"")</f>
        <v>3</v>
      </c>
      <c r="G12" s="2" t="n">
        <f aca="false">IFERROR(ROUND(AVERAGEIF(Responses!$C$2:$C$159,$A12,Responses!J$2:J$159),2),"")</f>
        <v>3</v>
      </c>
      <c r="H12" s="2" t="n">
        <f aca="false">IFERROR(ROUND(AVERAGEIF(Responses!$C$2:$C$159,$A12,Responses!K$2:K$159),2),"")</f>
        <v>2</v>
      </c>
      <c r="I12" s="2" t="n">
        <f aca="false">IFERROR(ROUND(AVERAGEIF(Responses!$C$2:$C$159,$A12,Responses!L$2:L$159),2),"")</f>
        <v>4</v>
      </c>
      <c r="J12" s="2" t="n">
        <f aca="false">IFERROR(ROUND(AVERAGEIF(Responses!$C$2:$C$159,$A12,Responses!M$2:M$159),2),"")</f>
        <v>3</v>
      </c>
      <c r="K12" s="2" t="n">
        <f aca="false">IFERROR(ROUND(AVERAGEIF(Responses!$C$2:$C$159,$A12,Responses!N$2:N$159),2),"")</f>
        <v>4</v>
      </c>
    </row>
    <row r="13" customFormat="false" ht="15" hidden="false" customHeight="false" outlineLevel="0" collapsed="false">
      <c r="A13" s="2" t="s">
        <v>106</v>
      </c>
      <c r="B13" s="2" t="n">
        <f aca="false">COUNTIF(Responses!$C$2:$C$159,A13)</f>
        <v>2</v>
      </c>
      <c r="C13" s="2" t="n">
        <f aca="false">IFERROR(ROUND(AVERAGEIF(Responses!$C$2:$C$159,$A13,Responses!F$2:F$159),2),"")</f>
        <v>2.5</v>
      </c>
      <c r="D13" s="2" t="n">
        <f aca="false">IFERROR(ROUND(AVERAGEIF(Responses!$C$2:$C$159,$A13,Responses!G$2:G$159),2),"")</f>
        <v>3.5</v>
      </c>
      <c r="E13" s="2" t="n">
        <f aca="false">IFERROR(ROUND(AVERAGEIF(Responses!$C$2:$C$159,$A13,Responses!H$2:H$159),2),"")</f>
        <v>3</v>
      </c>
      <c r="F13" s="2" t="n">
        <f aca="false">IFERROR(ROUND(AVERAGEIF(Responses!$C$2:$C$159,$A13,Responses!I$2:I$159),2),"")</f>
        <v>2.5</v>
      </c>
      <c r="G13" s="2" t="n">
        <f aca="false">IFERROR(ROUND(AVERAGEIF(Responses!$C$2:$C$159,$A13,Responses!J$2:J$159),2),"")</f>
        <v>3</v>
      </c>
      <c r="H13" s="2" t="n">
        <f aca="false">IFERROR(ROUND(AVERAGEIF(Responses!$C$2:$C$159,$A13,Responses!K$2:K$159),2),"")</f>
        <v>2.5</v>
      </c>
      <c r="I13" s="2" t="n">
        <f aca="false">IFERROR(ROUND(AVERAGEIF(Responses!$C$2:$C$159,$A13,Responses!L$2:L$159),2),"")</f>
        <v>1</v>
      </c>
      <c r="J13" s="2" t="n">
        <f aca="false">IFERROR(ROUND(AVERAGEIF(Responses!$C$2:$C$159,$A13,Responses!M$2:M$159),2),"")</f>
        <v>3</v>
      </c>
      <c r="K13" s="2" t="n">
        <f aca="false">IFERROR(ROUND(AVERAGEIF(Responses!$C$2:$C$159,$A13,Responses!N$2:N$159),2),"")</f>
        <v>5</v>
      </c>
    </row>
    <row r="14" customFormat="false" ht="15" hidden="false" customHeight="false" outlineLevel="0" collapsed="false">
      <c r="A14" s="2" t="s">
        <v>164</v>
      </c>
      <c r="B14" s="2" t="n">
        <f aca="false">COUNTIF(Responses!$C$2:$C$159,A14)</f>
        <v>1</v>
      </c>
      <c r="C14" s="2" t="n">
        <f aca="false">IFERROR(ROUND(AVERAGEIF(Responses!$C$2:$C$159,$A14,Responses!F$2:F$159),2),"")</f>
        <v>5</v>
      </c>
      <c r="D14" s="2" t="n">
        <f aca="false">IFERROR(ROUND(AVERAGEIF(Responses!$C$2:$C$159,$A14,Responses!G$2:G$159),2),"")</f>
        <v>3</v>
      </c>
      <c r="E14" s="2" t="n">
        <f aca="false">IFERROR(ROUND(AVERAGEIF(Responses!$C$2:$C$159,$A14,Responses!H$2:H$159),2),"")</f>
        <v>3</v>
      </c>
      <c r="F14" s="2" t="n">
        <f aca="false">IFERROR(ROUND(AVERAGEIF(Responses!$C$2:$C$159,$A14,Responses!I$2:I$159),2),"")</f>
        <v>3</v>
      </c>
      <c r="G14" s="2" t="n">
        <f aca="false">IFERROR(ROUND(AVERAGEIF(Responses!$C$2:$C$159,$A14,Responses!J$2:J$159),2),"")</f>
        <v>3</v>
      </c>
      <c r="H14" s="2" t="n">
        <f aca="false">IFERROR(ROUND(AVERAGEIF(Responses!$C$2:$C$159,$A14,Responses!K$2:K$159),2),"")</f>
        <v>3</v>
      </c>
      <c r="I14" s="2" t="n">
        <f aca="false">IFERROR(ROUND(AVERAGEIF(Responses!$C$2:$C$159,$A14,Responses!L$2:L$159),2),"")</f>
        <v>3</v>
      </c>
      <c r="J14" s="2" t="n">
        <f aca="false">IFERROR(ROUND(AVERAGEIF(Responses!$C$2:$C$159,$A14,Responses!M$2:M$159),2),"")</f>
        <v>4</v>
      </c>
      <c r="K14" s="2" t="n">
        <f aca="false">IFERROR(ROUND(AVERAGEIF(Responses!$C$2:$C$159,$A14,Responses!N$2:N$159),2),"")</f>
        <v>5</v>
      </c>
    </row>
    <row r="15" customFormat="false" ht="15" hidden="false" customHeight="false" outlineLevel="0" collapsed="false">
      <c r="A15" s="2" t="s">
        <v>75</v>
      </c>
      <c r="B15" s="2" t="n">
        <f aca="false">COUNTIF(Responses!$C$2:$C$159,A15)</f>
        <v>2</v>
      </c>
      <c r="C15" s="2" t="n">
        <f aca="false">IFERROR(ROUND(AVERAGEIF(Responses!$C$2:$C$159,$A15,Responses!F$2:F$159),2),"")</f>
        <v>2.5</v>
      </c>
      <c r="D15" s="2" t="n">
        <f aca="false">IFERROR(ROUND(AVERAGEIF(Responses!$C$2:$C$159,$A15,Responses!G$2:G$159),2),"")</f>
        <v>2.5</v>
      </c>
      <c r="E15" s="2" t="n">
        <f aca="false">IFERROR(ROUND(AVERAGEIF(Responses!$C$2:$C$159,$A15,Responses!H$2:H$159),2),"")</f>
        <v>2</v>
      </c>
      <c r="F15" s="2" t="n">
        <f aca="false">IFERROR(ROUND(AVERAGEIF(Responses!$C$2:$C$159,$A15,Responses!I$2:I$159),2),"")</f>
        <v>2.5</v>
      </c>
      <c r="G15" s="2" t="n">
        <f aca="false">IFERROR(ROUND(AVERAGEIF(Responses!$C$2:$C$159,$A15,Responses!J$2:J$159),2),"")</f>
        <v>2</v>
      </c>
      <c r="H15" s="2" t="n">
        <f aca="false">IFERROR(ROUND(AVERAGEIF(Responses!$C$2:$C$159,$A15,Responses!K$2:K$159),2),"")</f>
        <v>1</v>
      </c>
      <c r="I15" s="2" t="n">
        <f aca="false">IFERROR(ROUND(AVERAGEIF(Responses!$C$2:$C$159,$A15,Responses!L$2:L$159),2),"")</f>
        <v>1.5</v>
      </c>
      <c r="J15" s="2" t="n">
        <f aca="false">IFERROR(ROUND(AVERAGEIF(Responses!$C$2:$C$159,$A15,Responses!M$2:M$159),2),"")</f>
        <v>2</v>
      </c>
      <c r="K15" s="2" t="n">
        <f aca="false">IFERROR(ROUND(AVERAGEIF(Responses!$C$2:$C$159,$A15,Responses!N$2:N$159),2),"")</f>
        <v>2</v>
      </c>
    </row>
    <row r="16" customFormat="false" ht="15" hidden="false" customHeight="false" outlineLevel="0" collapsed="false">
      <c r="A16" s="2" t="s">
        <v>29</v>
      </c>
      <c r="B16" s="2" t="n">
        <f aca="false">COUNTIF(Responses!$C$2:$C$159,A16)</f>
        <v>2</v>
      </c>
      <c r="C16" s="2" t="n">
        <f aca="false">IFERROR(ROUND(AVERAGEIF(Responses!$C$2:$C$159,$A16,Responses!F$2:F$159),2),"")</f>
        <v>1.5</v>
      </c>
      <c r="D16" s="2" t="n">
        <f aca="false">IFERROR(ROUND(AVERAGEIF(Responses!$C$2:$C$159,$A16,Responses!G$2:G$159),2),"")</f>
        <v>1.5</v>
      </c>
      <c r="E16" s="2" t="n">
        <f aca="false">IFERROR(ROUND(AVERAGEIF(Responses!$C$2:$C$159,$A16,Responses!H$2:H$159),2),"")</f>
        <v>2</v>
      </c>
      <c r="F16" s="2" t="n">
        <f aca="false">IFERROR(ROUND(AVERAGEIF(Responses!$C$2:$C$159,$A16,Responses!I$2:I$159),2),"")</f>
        <v>1</v>
      </c>
      <c r="G16" s="2" t="n">
        <f aca="false">IFERROR(ROUND(AVERAGEIF(Responses!$C$2:$C$159,$A16,Responses!J$2:J$159),2),"")</f>
        <v>2</v>
      </c>
      <c r="H16" s="2" t="n">
        <f aca="false">IFERROR(ROUND(AVERAGEIF(Responses!$C$2:$C$159,$A16,Responses!K$2:K$159),2),"")</f>
        <v>2</v>
      </c>
      <c r="I16" s="2" t="n">
        <f aca="false">IFERROR(ROUND(AVERAGEIF(Responses!$C$2:$C$159,$A16,Responses!L$2:L$159),2),"")</f>
        <v>1.5</v>
      </c>
      <c r="J16" s="2" t="n">
        <f aca="false">IFERROR(ROUND(AVERAGEIF(Responses!$C$2:$C$159,$A16,Responses!M$2:M$159),2),"")</f>
        <v>2</v>
      </c>
      <c r="K16" s="2" t="n">
        <f aca="false">IFERROR(ROUND(AVERAGEIF(Responses!$C$2:$C$159,$A16,Responses!N$2:N$159),2),"")</f>
        <v>1</v>
      </c>
    </row>
    <row r="17" customFormat="false" ht="15" hidden="false" customHeight="false" outlineLevel="0" collapsed="false">
      <c r="A17" s="2" t="s">
        <v>113</v>
      </c>
      <c r="B17" s="2" t="n">
        <f aca="false">COUNTIF(Responses!$C$2:$C$159,A17)</f>
        <v>3</v>
      </c>
      <c r="C17" s="2" t="n">
        <f aca="false">IFERROR(ROUND(AVERAGEIF(Responses!$C$2:$C$159,$A17,Responses!F$2:F$159),2),"")</f>
        <v>2.33</v>
      </c>
      <c r="D17" s="2" t="n">
        <f aca="false">IFERROR(ROUND(AVERAGEIF(Responses!$C$2:$C$159,$A17,Responses!G$2:G$159),2),"")</f>
        <v>1</v>
      </c>
      <c r="E17" s="2" t="n">
        <f aca="false">IFERROR(ROUND(AVERAGEIF(Responses!$C$2:$C$159,$A17,Responses!H$2:H$159),2),"")</f>
        <v>2</v>
      </c>
      <c r="F17" s="2" t="n">
        <f aca="false">IFERROR(ROUND(AVERAGEIF(Responses!$C$2:$C$159,$A17,Responses!I$2:I$159),2),"")</f>
        <v>2</v>
      </c>
      <c r="G17" s="2" t="n">
        <f aca="false">IFERROR(ROUND(AVERAGEIF(Responses!$C$2:$C$159,$A17,Responses!J$2:J$159),2),"")</f>
        <v>1.67</v>
      </c>
      <c r="H17" s="2" t="n">
        <f aca="false">IFERROR(ROUND(AVERAGEIF(Responses!$C$2:$C$159,$A17,Responses!K$2:K$159),2),"")</f>
        <v>1</v>
      </c>
      <c r="I17" s="2" t="n">
        <f aca="false">IFERROR(ROUND(AVERAGEIF(Responses!$C$2:$C$159,$A17,Responses!L$2:L$159),2),"")</f>
        <v>1.33</v>
      </c>
      <c r="J17" s="2" t="n">
        <f aca="false">IFERROR(ROUND(AVERAGEIF(Responses!$C$2:$C$159,$A17,Responses!M$2:M$159),2),"")</f>
        <v>2</v>
      </c>
      <c r="K17" s="2" t="n">
        <f aca="false">IFERROR(ROUND(AVERAGEIF(Responses!$C$2:$C$159,$A17,Responses!N$2:N$159),2),"")</f>
        <v>3</v>
      </c>
    </row>
    <row r="18" customFormat="false" ht="15" hidden="false" customHeight="false" outlineLevel="0" collapsed="false">
      <c r="A18" s="2" t="s">
        <v>185</v>
      </c>
      <c r="B18" s="2" t="n">
        <f aca="false">COUNTIF(Responses!$C$2:$C$159,A18)</f>
        <v>2</v>
      </c>
      <c r="C18" s="2" t="n">
        <f aca="false">IFERROR(ROUND(AVERAGEIF(Responses!$C$2:$C$159,$A18,Responses!F$2:F$159),2),"")</f>
        <v>3</v>
      </c>
      <c r="D18" s="2" t="n">
        <f aca="false">IFERROR(ROUND(AVERAGEIF(Responses!$C$2:$C$159,$A18,Responses!G$2:G$159),2),"")</f>
        <v>5</v>
      </c>
      <c r="E18" s="2" t="n">
        <f aca="false">IFERROR(ROUND(AVERAGEIF(Responses!$C$2:$C$159,$A18,Responses!H$2:H$159),2),"")</f>
        <v>3.5</v>
      </c>
      <c r="F18" s="2" t="n">
        <f aca="false">IFERROR(ROUND(AVERAGEIF(Responses!$C$2:$C$159,$A18,Responses!I$2:I$159),2),"")</f>
        <v>2</v>
      </c>
      <c r="G18" s="2" t="n">
        <f aca="false">IFERROR(ROUND(AVERAGEIF(Responses!$C$2:$C$159,$A18,Responses!J$2:J$159),2),"")</f>
        <v>3</v>
      </c>
      <c r="H18" s="2" t="n">
        <f aca="false">IFERROR(ROUND(AVERAGEIF(Responses!$C$2:$C$159,$A18,Responses!K$2:K$159),2),"")</f>
        <v>2</v>
      </c>
      <c r="I18" s="2" t="n">
        <f aca="false">IFERROR(ROUND(AVERAGEIF(Responses!$C$2:$C$159,$A18,Responses!L$2:L$159),2),"")</f>
        <v>4.5</v>
      </c>
      <c r="J18" s="2" t="n">
        <f aca="false">IFERROR(ROUND(AVERAGEIF(Responses!$C$2:$C$159,$A18,Responses!M$2:M$159),2),"")</f>
        <v>3</v>
      </c>
      <c r="K18" s="2" t="n">
        <f aca="false">IFERROR(ROUND(AVERAGEIF(Responses!$C$2:$C$159,$A18,Responses!N$2:N$159),2),"")</f>
        <v>5.5</v>
      </c>
    </row>
    <row r="19" customFormat="false" ht="15" hidden="false" customHeight="false" outlineLevel="0" collapsed="false">
      <c r="A19" s="2" t="s">
        <v>209</v>
      </c>
      <c r="B19" s="2" t="n">
        <f aca="false">COUNTIF(Responses!$C$2:$C$159,A19)</f>
        <v>1</v>
      </c>
      <c r="C19" s="2" t="n">
        <f aca="false">IFERROR(ROUND(AVERAGEIF(Responses!$C$2:$C$159,$A19,Responses!F$2:F$159),2),"")</f>
        <v>4</v>
      </c>
      <c r="D19" s="2" t="n">
        <f aca="false">IFERROR(ROUND(AVERAGEIF(Responses!$C$2:$C$159,$A19,Responses!G$2:G$159),2),"")</f>
        <v>4</v>
      </c>
      <c r="E19" s="2" t="n">
        <f aca="false">IFERROR(ROUND(AVERAGEIF(Responses!$C$2:$C$159,$A19,Responses!H$2:H$159),2),"")</f>
        <v>5</v>
      </c>
      <c r="F19" s="2" t="n">
        <f aca="false">IFERROR(ROUND(AVERAGEIF(Responses!$C$2:$C$159,$A19,Responses!I$2:I$159),2),"")</f>
        <v>4</v>
      </c>
      <c r="G19" s="2" t="n">
        <f aca="false">IFERROR(ROUND(AVERAGEIF(Responses!$C$2:$C$159,$A19,Responses!J$2:J$159),2),"")</f>
        <v>4</v>
      </c>
      <c r="H19" s="2" t="n">
        <f aca="false">IFERROR(ROUND(AVERAGEIF(Responses!$C$2:$C$159,$A19,Responses!K$2:K$159),2),"")</f>
        <v>3</v>
      </c>
      <c r="I19" s="2" t="n">
        <f aca="false">IFERROR(ROUND(AVERAGEIF(Responses!$C$2:$C$159,$A19,Responses!L$2:L$159),2),"")</f>
        <v>3</v>
      </c>
      <c r="J19" s="2" t="n">
        <f aca="false">IFERROR(ROUND(AVERAGEIF(Responses!$C$2:$C$159,$A19,Responses!M$2:M$159),2),"")</f>
        <v>3</v>
      </c>
      <c r="K19" s="2" t="n">
        <f aca="false">IFERROR(ROUND(AVERAGEIF(Responses!$C$2:$C$159,$A19,Responses!N$2:N$159),2),"")</f>
        <v>7</v>
      </c>
    </row>
    <row r="20" customFormat="false" ht="15" hidden="false" customHeight="false" outlineLevel="0" collapsed="false">
      <c r="A20" s="2" t="s">
        <v>124</v>
      </c>
      <c r="B20" s="2" t="n">
        <f aca="false">COUNTIF(Responses!$C$2:$C$159,A20)</f>
        <v>3</v>
      </c>
      <c r="C20" s="2" t="n">
        <f aca="false">IFERROR(ROUND(AVERAGEIF(Responses!$C$2:$C$159,$A20,Responses!F$2:F$159),2),"")</f>
        <v>2.67</v>
      </c>
      <c r="D20" s="2" t="n">
        <f aca="false">IFERROR(ROUND(AVERAGEIF(Responses!$C$2:$C$159,$A20,Responses!G$2:G$159),2),"")</f>
        <v>3</v>
      </c>
      <c r="E20" s="2" t="n">
        <f aca="false">IFERROR(ROUND(AVERAGEIF(Responses!$C$2:$C$159,$A20,Responses!H$2:H$159),2),"")</f>
        <v>2.67</v>
      </c>
      <c r="F20" s="2" t="n">
        <f aca="false">IFERROR(ROUND(AVERAGEIF(Responses!$C$2:$C$159,$A20,Responses!I$2:I$159),2),"")</f>
        <v>2.67</v>
      </c>
      <c r="G20" s="2" t="n">
        <f aca="false">IFERROR(ROUND(AVERAGEIF(Responses!$C$2:$C$159,$A20,Responses!J$2:J$159),2),"")</f>
        <v>3</v>
      </c>
      <c r="H20" s="2" t="n">
        <f aca="false">IFERROR(ROUND(AVERAGEIF(Responses!$C$2:$C$159,$A20,Responses!K$2:K$159),2),"")</f>
        <v>3</v>
      </c>
      <c r="I20" s="2" t="n">
        <f aca="false">IFERROR(ROUND(AVERAGEIF(Responses!$C$2:$C$159,$A20,Responses!L$2:L$159),2),"")</f>
        <v>2</v>
      </c>
      <c r="J20" s="2" t="n">
        <f aca="false">IFERROR(ROUND(AVERAGEIF(Responses!$C$2:$C$159,$A20,Responses!M$2:M$159),2),"")</f>
        <v>3</v>
      </c>
      <c r="K20" s="2" t="n">
        <f aca="false">IFERROR(ROUND(AVERAGEIF(Responses!$C$2:$C$159,$A20,Responses!N$2:N$159),2),"")</f>
        <v>3.67</v>
      </c>
    </row>
    <row r="21" customFormat="false" ht="15" hidden="false" customHeight="false" outlineLevel="0" collapsed="false">
      <c r="A21" s="2" t="s">
        <v>142</v>
      </c>
      <c r="B21" s="2" t="n">
        <f aca="false">COUNTIF(Responses!$C$2:$C$159,A21)</f>
        <v>3</v>
      </c>
      <c r="C21" s="2" t="n">
        <f aca="false">IFERROR(ROUND(AVERAGEIF(Responses!$C$2:$C$159,$A21,Responses!F$2:F$159),2),"")</f>
        <v>4</v>
      </c>
      <c r="D21" s="2" t="n">
        <f aca="false">IFERROR(ROUND(AVERAGEIF(Responses!$C$2:$C$159,$A21,Responses!G$2:G$159),2),"")</f>
        <v>2.33</v>
      </c>
      <c r="E21" s="2" t="n">
        <f aca="false">IFERROR(ROUND(AVERAGEIF(Responses!$C$2:$C$159,$A21,Responses!H$2:H$159),2),"")</f>
        <v>3</v>
      </c>
      <c r="F21" s="2" t="n">
        <f aca="false">IFERROR(ROUND(AVERAGEIF(Responses!$C$2:$C$159,$A21,Responses!I$2:I$159),2),"")</f>
        <v>3.33</v>
      </c>
      <c r="G21" s="2" t="n">
        <f aca="false">IFERROR(ROUND(AVERAGEIF(Responses!$C$2:$C$159,$A21,Responses!J$2:J$159),2),"")</f>
        <v>3</v>
      </c>
      <c r="H21" s="2" t="n">
        <f aca="false">IFERROR(ROUND(AVERAGEIF(Responses!$C$2:$C$159,$A21,Responses!K$2:K$159),2),"")</f>
        <v>2.33</v>
      </c>
      <c r="I21" s="2" t="n">
        <f aca="false">IFERROR(ROUND(AVERAGEIF(Responses!$C$2:$C$159,$A21,Responses!L$2:L$159),2),"")</f>
        <v>2</v>
      </c>
      <c r="J21" s="2" t="n">
        <f aca="false">IFERROR(ROUND(AVERAGEIF(Responses!$C$2:$C$159,$A21,Responses!M$2:M$159),2),"")</f>
        <v>3.33</v>
      </c>
      <c r="K21" s="2" t="n">
        <f aca="false">IFERROR(ROUND(AVERAGEIF(Responses!$C$2:$C$159,$A21,Responses!N$2:N$159),2),"")</f>
        <v>5.33</v>
      </c>
    </row>
    <row r="22" customFormat="false" ht="15" hidden="false" customHeight="false" outlineLevel="0" collapsed="false">
      <c r="A22" s="2" t="s">
        <v>258</v>
      </c>
      <c r="B22" s="2" t="n">
        <f aca="false">COUNTIF(Responses!$C$2:$C$159,A22)</f>
        <v>1</v>
      </c>
      <c r="C22" s="2" t="n">
        <f aca="false">IFERROR(ROUND(AVERAGEIF(Responses!$C$2:$C$159,$A22,Responses!F$2:F$159),2),"")</f>
        <v>4</v>
      </c>
      <c r="D22" s="2" t="n">
        <f aca="false">IFERROR(ROUND(AVERAGEIF(Responses!$C$2:$C$159,$A22,Responses!G$2:G$159),2),"")</f>
        <v>4</v>
      </c>
      <c r="E22" s="2" t="n">
        <f aca="false">IFERROR(ROUND(AVERAGEIF(Responses!$C$2:$C$159,$A22,Responses!H$2:H$159),2),"")</f>
        <v>3</v>
      </c>
      <c r="F22" s="2" t="n">
        <f aca="false">IFERROR(ROUND(AVERAGEIF(Responses!$C$2:$C$159,$A22,Responses!I$2:I$159),2),"")</f>
        <v>2</v>
      </c>
      <c r="G22" s="2" t="n">
        <f aca="false">IFERROR(ROUND(AVERAGEIF(Responses!$C$2:$C$159,$A22,Responses!J$2:J$159),2),"")</f>
        <v>4</v>
      </c>
      <c r="H22" s="2" t="n">
        <f aca="false">IFERROR(ROUND(AVERAGEIF(Responses!$C$2:$C$159,$A22,Responses!K$2:K$159),2),"")</f>
        <v>3</v>
      </c>
      <c r="I22" s="2" t="n">
        <f aca="false">IFERROR(ROUND(AVERAGEIF(Responses!$C$2:$C$159,$A22,Responses!L$2:L$159),2),"")</f>
        <v>2</v>
      </c>
      <c r="J22" s="2" t="n">
        <f aca="false">IFERROR(ROUND(AVERAGEIF(Responses!$C$2:$C$159,$A22,Responses!M$2:M$159),2),"")</f>
        <v>4</v>
      </c>
      <c r="K22" s="2" t="n">
        <f aca="false">IFERROR(ROUND(AVERAGEIF(Responses!$C$2:$C$159,$A22,Responses!N$2:N$159),2),"")</f>
        <v>7</v>
      </c>
    </row>
    <row r="23" customFormat="false" ht="15" hidden="false" customHeight="false" outlineLevel="0" collapsed="false">
      <c r="A23" s="2" t="s">
        <v>80</v>
      </c>
      <c r="B23" s="2" t="n">
        <f aca="false">COUNTIF(Responses!$C$2:$C$159,A23)</f>
        <v>3</v>
      </c>
      <c r="C23" s="2" t="n">
        <f aca="false">IFERROR(ROUND(AVERAGEIF(Responses!$C$2:$C$159,$A23,Responses!F$2:F$159),2),"")</f>
        <v>4.33</v>
      </c>
      <c r="D23" s="2" t="n">
        <f aca="false">IFERROR(ROUND(AVERAGEIF(Responses!$C$2:$C$159,$A23,Responses!G$2:G$159),2),"")</f>
        <v>4.33</v>
      </c>
      <c r="E23" s="2" t="n">
        <f aca="false">IFERROR(ROUND(AVERAGEIF(Responses!$C$2:$C$159,$A23,Responses!H$2:H$159),2),"")</f>
        <v>4</v>
      </c>
      <c r="F23" s="2" t="n">
        <f aca="false">IFERROR(ROUND(AVERAGEIF(Responses!$C$2:$C$159,$A23,Responses!I$2:I$159),2),"")</f>
        <v>4</v>
      </c>
      <c r="G23" s="2" t="n">
        <f aca="false">IFERROR(ROUND(AVERAGEIF(Responses!$C$2:$C$159,$A23,Responses!J$2:J$159),2),"")</f>
        <v>4.67</v>
      </c>
      <c r="H23" s="2" t="n">
        <f aca="false">IFERROR(ROUND(AVERAGEIF(Responses!$C$2:$C$159,$A23,Responses!K$2:K$159),2),"")</f>
        <v>2.67</v>
      </c>
      <c r="I23" s="2" t="n">
        <f aca="false">IFERROR(ROUND(AVERAGEIF(Responses!$C$2:$C$159,$A23,Responses!L$2:L$159),2),"")</f>
        <v>4</v>
      </c>
      <c r="J23" s="2" t="n">
        <f aca="false">IFERROR(ROUND(AVERAGEIF(Responses!$C$2:$C$159,$A23,Responses!M$2:M$159),2),"")</f>
        <v>3.67</v>
      </c>
      <c r="K23" s="2" t="n">
        <f aca="false">IFERROR(ROUND(AVERAGEIF(Responses!$C$2:$C$159,$A23,Responses!N$2:N$159),2),"")</f>
        <v>6.33</v>
      </c>
    </row>
    <row r="24" customFormat="false" ht="15" hidden="false" customHeight="false" outlineLevel="0" collapsed="false">
      <c r="A24" s="2" t="s">
        <v>147</v>
      </c>
      <c r="B24" s="2" t="n">
        <f aca="false">COUNTIF(Responses!$C$2:$C$159,A24)</f>
        <v>1</v>
      </c>
      <c r="C24" s="2" t="n">
        <f aca="false">IFERROR(ROUND(AVERAGEIF(Responses!$C$2:$C$159,$A24,Responses!F$2:F$159),2),"")</f>
        <v>4</v>
      </c>
      <c r="D24" s="2" t="n">
        <f aca="false">IFERROR(ROUND(AVERAGEIF(Responses!$C$2:$C$159,$A24,Responses!G$2:G$159),2),"")</f>
        <v>3</v>
      </c>
      <c r="E24" s="2" t="n">
        <f aca="false">IFERROR(ROUND(AVERAGEIF(Responses!$C$2:$C$159,$A24,Responses!H$2:H$159),2),"")</f>
        <v>3</v>
      </c>
      <c r="F24" s="2" t="n">
        <f aca="false">IFERROR(ROUND(AVERAGEIF(Responses!$C$2:$C$159,$A24,Responses!I$2:I$159),2),"")</f>
        <v>4</v>
      </c>
      <c r="G24" s="2" t="n">
        <f aca="false">IFERROR(ROUND(AVERAGEIF(Responses!$C$2:$C$159,$A24,Responses!J$2:J$159),2),"")</f>
        <v>3</v>
      </c>
      <c r="H24" s="2" t="n">
        <f aca="false">IFERROR(ROUND(AVERAGEIF(Responses!$C$2:$C$159,$A24,Responses!K$2:K$159),2),"")</f>
        <v>3</v>
      </c>
      <c r="I24" s="2" t="n">
        <f aca="false">IFERROR(ROUND(AVERAGEIF(Responses!$C$2:$C$159,$A24,Responses!L$2:L$159),2),"")</f>
        <v>3</v>
      </c>
      <c r="J24" s="2" t="n">
        <f aca="false">IFERROR(ROUND(AVERAGEIF(Responses!$C$2:$C$159,$A24,Responses!M$2:M$159),2),"")</f>
        <v>3</v>
      </c>
      <c r="K24" s="2" t="n">
        <f aca="false">IFERROR(ROUND(AVERAGEIF(Responses!$C$2:$C$159,$A24,Responses!N$2:N$159),2),"")</f>
        <v>4</v>
      </c>
    </row>
    <row r="25" customFormat="false" ht="15" hidden="false" customHeight="false" outlineLevel="0" collapsed="false">
      <c r="A25" s="2" t="s">
        <v>103</v>
      </c>
      <c r="B25" s="2" t="n">
        <f aca="false">COUNTIF(Responses!$C$2:$C$159,A25)</f>
        <v>5</v>
      </c>
      <c r="C25" s="2" t="n">
        <f aca="false">IFERROR(ROUND(AVERAGEIF(Responses!$C$2:$C$159,$A25,Responses!F$2:F$159),2),"")</f>
        <v>3.6</v>
      </c>
      <c r="D25" s="2" t="n">
        <f aca="false">IFERROR(ROUND(AVERAGEIF(Responses!$C$2:$C$159,$A25,Responses!G$2:G$159),2),"")</f>
        <v>3.8</v>
      </c>
      <c r="E25" s="2" t="n">
        <f aca="false">IFERROR(ROUND(AVERAGEIF(Responses!$C$2:$C$159,$A25,Responses!H$2:H$159),2),"")</f>
        <v>3.4</v>
      </c>
      <c r="F25" s="2" t="n">
        <f aca="false">IFERROR(ROUND(AVERAGEIF(Responses!$C$2:$C$159,$A25,Responses!I$2:I$159),2),"")</f>
        <v>3.6</v>
      </c>
      <c r="G25" s="2" t="n">
        <f aca="false">IFERROR(ROUND(AVERAGEIF(Responses!$C$2:$C$159,$A25,Responses!J$2:J$159),2),"")</f>
        <v>4.4</v>
      </c>
      <c r="H25" s="2" t="n">
        <f aca="false">IFERROR(ROUND(AVERAGEIF(Responses!$C$2:$C$159,$A25,Responses!K$2:K$159),2),"")</f>
        <v>3</v>
      </c>
      <c r="I25" s="2" t="n">
        <f aca="false">IFERROR(ROUND(AVERAGEIF(Responses!$C$2:$C$159,$A25,Responses!L$2:L$159),2),"")</f>
        <v>2.8</v>
      </c>
      <c r="J25" s="2" t="n">
        <f aca="false">IFERROR(ROUND(AVERAGEIF(Responses!$C$2:$C$159,$A25,Responses!M$2:M$159),2),"")</f>
        <v>4</v>
      </c>
      <c r="K25" s="2" t="n">
        <f aca="false">IFERROR(ROUND(AVERAGEIF(Responses!$C$2:$C$159,$A25,Responses!N$2:N$159),2),"")</f>
        <v>6.6</v>
      </c>
    </row>
    <row r="26" customFormat="false" ht="15" hidden="false" customHeight="false" outlineLevel="0" collapsed="false">
      <c r="A26" s="2" t="s">
        <v>45</v>
      </c>
      <c r="B26" s="2" t="n">
        <f aca="false">COUNTIF(Responses!$C$2:$C$159,A26)</f>
        <v>15</v>
      </c>
      <c r="C26" s="2" t="n">
        <f aca="false">IFERROR(ROUND(AVERAGEIF(Responses!$C$2:$C$159,$A26,Responses!F$2:F$159),2),"")</f>
        <v>3.53</v>
      </c>
      <c r="D26" s="2" t="n">
        <f aca="false">IFERROR(ROUND(AVERAGEIF(Responses!$C$2:$C$159,$A26,Responses!G$2:G$159),2),"")</f>
        <v>3.07</v>
      </c>
      <c r="E26" s="2" t="n">
        <f aca="false">IFERROR(ROUND(AVERAGEIF(Responses!$C$2:$C$159,$A26,Responses!H$2:H$159),2),"")</f>
        <v>2.73</v>
      </c>
      <c r="F26" s="2" t="n">
        <f aca="false">IFERROR(ROUND(AVERAGEIF(Responses!$C$2:$C$159,$A26,Responses!I$2:I$159),2),"")</f>
        <v>3</v>
      </c>
      <c r="G26" s="2" t="n">
        <f aca="false">IFERROR(ROUND(AVERAGEIF(Responses!$C$2:$C$159,$A26,Responses!J$2:J$159),2),"")</f>
        <v>3.47</v>
      </c>
      <c r="H26" s="2" t="n">
        <f aca="false">IFERROR(ROUND(AVERAGEIF(Responses!$C$2:$C$159,$A26,Responses!K$2:K$159),2),"")</f>
        <v>2.6</v>
      </c>
      <c r="I26" s="2" t="n">
        <f aca="false">IFERROR(ROUND(AVERAGEIF(Responses!$C$2:$C$159,$A26,Responses!L$2:L$159),2),"")</f>
        <v>2.4</v>
      </c>
      <c r="J26" s="2" t="n">
        <f aca="false">IFERROR(ROUND(AVERAGEIF(Responses!$C$2:$C$159,$A26,Responses!M$2:M$159),2),"")</f>
        <v>3.33</v>
      </c>
      <c r="K26" s="2" t="n">
        <f aca="false">IFERROR(ROUND(AVERAGEIF(Responses!$C$2:$C$159,$A26,Responses!N$2:N$159),2),"")</f>
        <v>5.07</v>
      </c>
    </row>
    <row r="27" customFormat="false" ht="15" hidden="false" customHeight="false" outlineLevel="0" collapsed="false">
      <c r="A27" s="2" t="s">
        <v>177</v>
      </c>
      <c r="B27" s="2" t="n">
        <f aca="false">COUNTIF(Responses!$C$2:$C$159,A27)</f>
        <v>2</v>
      </c>
      <c r="C27" s="2" t="n">
        <f aca="false">IFERROR(ROUND(AVERAGEIF(Responses!$C$2:$C$159,$A27,Responses!F$2:F$159),2),"")</f>
        <v>5</v>
      </c>
      <c r="D27" s="2" t="n">
        <f aca="false">IFERROR(ROUND(AVERAGEIF(Responses!$C$2:$C$159,$A27,Responses!G$2:G$159),2),"")</f>
        <v>4.5</v>
      </c>
      <c r="E27" s="2" t="n">
        <f aca="false">IFERROR(ROUND(AVERAGEIF(Responses!$C$2:$C$159,$A27,Responses!H$2:H$159),2),"")</f>
        <v>4.5</v>
      </c>
      <c r="F27" s="2" t="n">
        <f aca="false">IFERROR(ROUND(AVERAGEIF(Responses!$C$2:$C$159,$A27,Responses!I$2:I$159),2),"")</f>
        <v>3.5</v>
      </c>
      <c r="G27" s="2" t="n">
        <f aca="false">IFERROR(ROUND(AVERAGEIF(Responses!$C$2:$C$159,$A27,Responses!J$2:J$159),2),"")</f>
        <v>4.5</v>
      </c>
      <c r="H27" s="2" t="n">
        <f aca="false">IFERROR(ROUND(AVERAGEIF(Responses!$C$2:$C$159,$A27,Responses!K$2:K$159),2),"")</f>
        <v>4</v>
      </c>
      <c r="I27" s="2" t="n">
        <f aca="false">IFERROR(ROUND(AVERAGEIF(Responses!$C$2:$C$159,$A27,Responses!L$2:L$159),2),"")</f>
        <v>3</v>
      </c>
      <c r="J27" s="2" t="n">
        <f aca="false">IFERROR(ROUND(AVERAGEIF(Responses!$C$2:$C$159,$A27,Responses!M$2:M$159),2),"")</f>
        <v>4.5</v>
      </c>
      <c r="K27" s="2" t="n">
        <f aca="false">IFERROR(ROUND(AVERAGEIF(Responses!$C$2:$C$159,$A27,Responses!N$2:N$159),2),"")</f>
        <v>7.5</v>
      </c>
    </row>
    <row r="28" customFormat="false" ht="15" hidden="false" customHeight="false" outlineLevel="0" collapsed="false">
      <c r="A28" s="2" t="s">
        <v>100</v>
      </c>
      <c r="B28" s="2" t="n">
        <f aca="false">COUNTIF(Responses!$C$2:$C$159,A28)</f>
        <v>7</v>
      </c>
      <c r="C28" s="2" t="n">
        <f aca="false">IFERROR(ROUND(AVERAGEIF(Responses!$C$2:$C$159,$A28,Responses!F$2:F$159),2),"")</f>
        <v>3.71</v>
      </c>
      <c r="D28" s="2" t="n">
        <f aca="false">IFERROR(ROUND(AVERAGEIF(Responses!$C$2:$C$159,$A28,Responses!G$2:G$159),2),"")</f>
        <v>2.14</v>
      </c>
      <c r="E28" s="2" t="n">
        <f aca="false">IFERROR(ROUND(AVERAGEIF(Responses!$C$2:$C$159,$A28,Responses!H$2:H$159),2),"")</f>
        <v>2.86</v>
      </c>
      <c r="F28" s="2" t="n">
        <f aca="false">IFERROR(ROUND(AVERAGEIF(Responses!$C$2:$C$159,$A28,Responses!I$2:I$159),2),"")</f>
        <v>3.43</v>
      </c>
      <c r="G28" s="2" t="n">
        <f aca="false">IFERROR(ROUND(AVERAGEIF(Responses!$C$2:$C$159,$A28,Responses!J$2:J$159),2),"")</f>
        <v>2.86</v>
      </c>
      <c r="H28" s="2" t="n">
        <f aca="false">IFERROR(ROUND(AVERAGEIF(Responses!$C$2:$C$159,$A28,Responses!K$2:K$159),2),"")</f>
        <v>2.57</v>
      </c>
      <c r="I28" s="2" t="n">
        <f aca="false">IFERROR(ROUND(AVERAGEIF(Responses!$C$2:$C$159,$A28,Responses!L$2:L$159),2),"")</f>
        <v>2.29</v>
      </c>
      <c r="J28" s="2" t="n">
        <f aca="false">IFERROR(ROUND(AVERAGEIF(Responses!$C$2:$C$159,$A28,Responses!M$2:M$159),2),"")</f>
        <v>2.86</v>
      </c>
      <c r="K28" s="2" t="n">
        <f aca="false">IFERROR(ROUND(AVERAGEIF(Responses!$C$2:$C$159,$A28,Responses!N$2:N$159),2),"")</f>
        <v>4.71</v>
      </c>
    </row>
    <row r="29" customFormat="false" ht="15" hidden="false" customHeight="false" outlineLevel="0" collapsed="false">
      <c r="A29" s="2" t="s">
        <v>126</v>
      </c>
      <c r="B29" s="2" t="n">
        <f aca="false">COUNTIF(Responses!$C$2:$C$159,A29)</f>
        <v>4</v>
      </c>
      <c r="C29" s="2" t="n">
        <f aca="false">IFERROR(ROUND(AVERAGEIF(Responses!$C$2:$C$159,$A29,Responses!F$2:F$159),2),"")</f>
        <v>3.25</v>
      </c>
      <c r="D29" s="2" t="n">
        <f aca="false">IFERROR(ROUND(AVERAGEIF(Responses!$C$2:$C$159,$A29,Responses!G$2:G$159),2),"")</f>
        <v>3</v>
      </c>
      <c r="E29" s="2" t="n">
        <f aca="false">IFERROR(ROUND(AVERAGEIF(Responses!$C$2:$C$159,$A29,Responses!H$2:H$159),2),"")</f>
        <v>2.75</v>
      </c>
      <c r="F29" s="2" t="n">
        <f aca="false">IFERROR(ROUND(AVERAGEIF(Responses!$C$2:$C$159,$A29,Responses!I$2:I$159),2),"")</f>
        <v>3.75</v>
      </c>
      <c r="G29" s="2" t="n">
        <f aca="false">IFERROR(ROUND(AVERAGEIF(Responses!$C$2:$C$159,$A29,Responses!J$2:J$159),2),"")</f>
        <v>3.5</v>
      </c>
      <c r="H29" s="2" t="n">
        <f aca="false">IFERROR(ROUND(AVERAGEIF(Responses!$C$2:$C$159,$A29,Responses!K$2:K$159),2),"")</f>
        <v>2.5</v>
      </c>
      <c r="I29" s="2" t="n">
        <f aca="false">IFERROR(ROUND(AVERAGEIF(Responses!$C$2:$C$159,$A29,Responses!L$2:L$159),2),"")</f>
        <v>2.75</v>
      </c>
      <c r="J29" s="2" t="n">
        <f aca="false">IFERROR(ROUND(AVERAGEIF(Responses!$C$2:$C$159,$A29,Responses!M$2:M$159),2),"")</f>
        <v>3.75</v>
      </c>
      <c r="K29" s="2" t="n">
        <f aca="false">IFERROR(ROUND(AVERAGEIF(Responses!$C$2:$C$159,$A29,Responses!N$2:N$159),2),"")</f>
        <v>6</v>
      </c>
    </row>
    <row r="30" customFormat="false" ht="15" hidden="false" customHeight="false" outlineLevel="0" collapsed="false">
      <c r="A30" s="2" t="s">
        <v>47</v>
      </c>
      <c r="B30" s="2" t="n">
        <f aca="false">COUNTIF(Responses!$C$2:$C$159,A30)</f>
        <v>4</v>
      </c>
      <c r="C30" s="2" t="n">
        <f aca="false">IFERROR(ROUND(AVERAGEIF(Responses!$C$2:$C$159,$A30,Responses!F$2:F$159),2),"")</f>
        <v>3.75</v>
      </c>
      <c r="D30" s="2" t="n">
        <f aca="false">IFERROR(ROUND(AVERAGEIF(Responses!$C$2:$C$159,$A30,Responses!G$2:G$159),2),"")</f>
        <v>3.75</v>
      </c>
      <c r="E30" s="2" t="n">
        <f aca="false">IFERROR(ROUND(AVERAGEIF(Responses!$C$2:$C$159,$A30,Responses!H$2:H$159),2),"")</f>
        <v>4</v>
      </c>
      <c r="F30" s="2" t="n">
        <f aca="false">IFERROR(ROUND(AVERAGEIF(Responses!$C$2:$C$159,$A30,Responses!I$2:I$159),2),"")</f>
        <v>2.75</v>
      </c>
      <c r="G30" s="2" t="n">
        <f aca="false">IFERROR(ROUND(AVERAGEIF(Responses!$C$2:$C$159,$A30,Responses!J$2:J$159),2),"")</f>
        <v>4</v>
      </c>
      <c r="H30" s="2" t="n">
        <f aca="false">IFERROR(ROUND(AVERAGEIF(Responses!$C$2:$C$159,$A30,Responses!K$2:K$159),2),"")</f>
        <v>3.5</v>
      </c>
      <c r="I30" s="2" t="n">
        <f aca="false">IFERROR(ROUND(AVERAGEIF(Responses!$C$2:$C$159,$A30,Responses!L$2:L$159),2),"")</f>
        <v>3</v>
      </c>
      <c r="J30" s="2" t="n">
        <f aca="false">IFERROR(ROUND(AVERAGEIF(Responses!$C$2:$C$159,$A30,Responses!M$2:M$159),2),"")</f>
        <v>4</v>
      </c>
      <c r="K30" s="2" t="n">
        <f aca="false">IFERROR(ROUND(AVERAGEIF(Responses!$C$2:$C$159,$A30,Responses!N$2:N$159),2),"")</f>
        <v>7.5</v>
      </c>
    </row>
    <row r="31" customFormat="false" ht="15" hidden="false" customHeight="false" outlineLevel="0" collapsed="false">
      <c r="A31" s="2" t="s">
        <v>67</v>
      </c>
      <c r="B31" s="2" t="n">
        <f aca="false">COUNTIF(Responses!$C$2:$C$159,A31)</f>
        <v>10</v>
      </c>
      <c r="C31" s="2" t="n">
        <f aca="false">IFERROR(ROUND(AVERAGEIF(Responses!$C$2:$C$159,$A31,Responses!F$2:F$159),2),"")</f>
        <v>4.3</v>
      </c>
      <c r="D31" s="2" t="n">
        <f aca="false">IFERROR(ROUND(AVERAGEIF(Responses!$C$2:$C$159,$A31,Responses!G$2:G$159),2),"")</f>
        <v>3.8</v>
      </c>
      <c r="E31" s="2" t="n">
        <f aca="false">IFERROR(ROUND(AVERAGEIF(Responses!$C$2:$C$159,$A31,Responses!H$2:H$159),2),"")</f>
        <v>3.1</v>
      </c>
      <c r="F31" s="2" t="n">
        <f aca="false">IFERROR(ROUND(AVERAGEIF(Responses!$C$2:$C$159,$A31,Responses!I$2:I$159),2),"")</f>
        <v>3.6</v>
      </c>
      <c r="G31" s="2" t="n">
        <f aca="false">IFERROR(ROUND(AVERAGEIF(Responses!$C$2:$C$159,$A31,Responses!J$2:J$159),2),"")</f>
        <v>3.9</v>
      </c>
      <c r="H31" s="2" t="n">
        <f aca="false">IFERROR(ROUND(AVERAGEIF(Responses!$C$2:$C$159,$A31,Responses!K$2:K$159),2),"")</f>
        <v>3.3</v>
      </c>
      <c r="I31" s="2" t="n">
        <f aca="false">IFERROR(ROUND(AVERAGEIF(Responses!$C$2:$C$159,$A31,Responses!L$2:L$159),2),"")</f>
        <v>3.1</v>
      </c>
      <c r="J31" s="2" t="n">
        <f aca="false">IFERROR(ROUND(AVERAGEIF(Responses!$C$2:$C$159,$A31,Responses!M$2:M$159),2),"")</f>
        <v>4</v>
      </c>
      <c r="K31" s="2" t="n">
        <f aca="false">IFERROR(ROUND(AVERAGEIF(Responses!$C$2:$C$159,$A31,Responses!N$2:N$159),2),"")</f>
        <v>6.8</v>
      </c>
    </row>
    <row r="32" customFormat="false" ht="15" hidden="false" customHeight="false" outlineLevel="0" collapsed="false">
      <c r="A32" s="2" t="s">
        <v>218</v>
      </c>
      <c r="B32" s="2" t="n">
        <f aca="false">COUNTIF(Responses!$C$2:$C$159,A32)</f>
        <v>1</v>
      </c>
      <c r="C32" s="2" t="n">
        <f aca="false">IFERROR(ROUND(AVERAGEIF(Responses!$C$2:$C$159,$A32,Responses!F$2:F$159),2),"")</f>
        <v>4</v>
      </c>
      <c r="D32" s="2" t="n">
        <f aca="false">IFERROR(ROUND(AVERAGEIF(Responses!$C$2:$C$159,$A32,Responses!G$2:G$159),2),"")</f>
        <v>5</v>
      </c>
      <c r="E32" s="2" t="n">
        <f aca="false">IFERROR(ROUND(AVERAGEIF(Responses!$C$2:$C$159,$A32,Responses!H$2:H$159),2),"")</f>
        <v>4</v>
      </c>
      <c r="F32" s="2" t="n">
        <f aca="false">IFERROR(ROUND(AVERAGEIF(Responses!$C$2:$C$159,$A32,Responses!I$2:I$159),2),"")</f>
        <v>4</v>
      </c>
      <c r="G32" s="2" t="n">
        <f aca="false">IFERROR(ROUND(AVERAGEIF(Responses!$C$2:$C$159,$A32,Responses!J$2:J$159),2),"")</f>
        <v>4</v>
      </c>
      <c r="H32" s="2" t="n">
        <f aca="false">IFERROR(ROUND(AVERAGEIF(Responses!$C$2:$C$159,$A32,Responses!K$2:K$159),2),"")</f>
        <v>3</v>
      </c>
      <c r="I32" s="2" t="n">
        <f aca="false">IFERROR(ROUND(AVERAGEIF(Responses!$C$2:$C$159,$A32,Responses!L$2:L$159),2),"")</f>
        <v>4</v>
      </c>
      <c r="J32" s="2" t="n">
        <f aca="false">IFERROR(ROUND(AVERAGEIF(Responses!$C$2:$C$159,$A32,Responses!M$2:M$159),2),"")</f>
        <v>5</v>
      </c>
      <c r="K32" s="2" t="n">
        <f aca="false">IFERROR(ROUND(AVERAGEIF(Responses!$C$2:$C$159,$A32,Responses!N$2:N$159),2),"")</f>
        <v>7</v>
      </c>
    </row>
    <row r="33" customFormat="false" ht="15" hidden="false" customHeight="false" outlineLevel="0" collapsed="false">
      <c r="A33" s="2" t="s">
        <v>87</v>
      </c>
      <c r="B33" s="2" t="n">
        <f aca="false">COUNTIF(Responses!$C$2:$C$159,A33)</f>
        <v>2</v>
      </c>
      <c r="C33" s="2" t="n">
        <f aca="false">IFERROR(ROUND(AVERAGEIF(Responses!$C$2:$C$159,$A33,Responses!F$2:F$159),2),"")</f>
        <v>4</v>
      </c>
      <c r="D33" s="2" t="n">
        <f aca="false">IFERROR(ROUND(AVERAGEIF(Responses!$C$2:$C$159,$A33,Responses!G$2:G$159),2),"")</f>
        <v>3.5</v>
      </c>
      <c r="E33" s="2" t="n">
        <f aca="false">IFERROR(ROUND(AVERAGEIF(Responses!$C$2:$C$159,$A33,Responses!H$2:H$159),2),"")</f>
        <v>4.5</v>
      </c>
      <c r="F33" s="2" t="n">
        <f aca="false">IFERROR(ROUND(AVERAGEIF(Responses!$C$2:$C$159,$A33,Responses!I$2:I$159),2),"")</f>
        <v>2.5</v>
      </c>
      <c r="G33" s="2" t="n">
        <f aca="false">IFERROR(ROUND(AVERAGEIF(Responses!$C$2:$C$159,$A33,Responses!J$2:J$159),2),"")</f>
        <v>3</v>
      </c>
      <c r="H33" s="2" t="n">
        <f aca="false">IFERROR(ROUND(AVERAGEIF(Responses!$C$2:$C$159,$A33,Responses!K$2:K$159),2),"")</f>
        <v>3</v>
      </c>
      <c r="I33" s="2" t="n">
        <f aca="false">IFERROR(ROUND(AVERAGEIF(Responses!$C$2:$C$159,$A33,Responses!L$2:L$159),2),"")</f>
        <v>3</v>
      </c>
      <c r="J33" s="2" t="n">
        <f aca="false">IFERROR(ROUND(AVERAGEIF(Responses!$C$2:$C$159,$A33,Responses!M$2:M$159),2),"")</f>
        <v>4</v>
      </c>
      <c r="K33" s="2" t="n">
        <f aca="false">IFERROR(ROUND(AVERAGEIF(Responses!$C$2:$C$159,$A33,Responses!N$2:N$159),2),"")</f>
        <v>7</v>
      </c>
    </row>
    <row r="34" customFormat="false" ht="15" hidden="false" customHeight="false" outlineLevel="0" collapsed="false">
      <c r="A34" s="2" t="s">
        <v>182</v>
      </c>
      <c r="B34" s="2" t="n">
        <f aca="false">COUNTIF(Responses!$C$2:$C$159,A34)</f>
        <v>1</v>
      </c>
      <c r="C34" s="2" t="n">
        <f aca="false">IFERROR(ROUND(AVERAGEIF(Responses!$C$2:$C$159,$A34,Responses!F$2:F$159),2),"")</f>
        <v>5</v>
      </c>
      <c r="D34" s="2" t="n">
        <f aca="false">IFERROR(ROUND(AVERAGEIF(Responses!$C$2:$C$159,$A34,Responses!G$2:G$159),2),"")</f>
        <v>2</v>
      </c>
      <c r="E34" s="2" t="n">
        <f aca="false">IFERROR(ROUND(AVERAGEIF(Responses!$C$2:$C$159,$A34,Responses!H$2:H$159),2),"")</f>
        <v>4</v>
      </c>
      <c r="F34" s="2" t="n">
        <f aca="false">IFERROR(ROUND(AVERAGEIF(Responses!$C$2:$C$159,$A34,Responses!I$2:I$159),2),"")</f>
        <v>3</v>
      </c>
      <c r="G34" s="2" t="n">
        <f aca="false">IFERROR(ROUND(AVERAGEIF(Responses!$C$2:$C$159,$A34,Responses!J$2:J$159),2),"")</f>
        <v>3</v>
      </c>
      <c r="H34" s="2" t="n">
        <f aca="false">IFERROR(ROUND(AVERAGEIF(Responses!$C$2:$C$159,$A34,Responses!K$2:K$159),2),"")</f>
        <v>3</v>
      </c>
      <c r="I34" s="2" t="n">
        <f aca="false">IFERROR(ROUND(AVERAGEIF(Responses!$C$2:$C$159,$A34,Responses!L$2:L$159),2),"")</f>
        <v>2</v>
      </c>
      <c r="J34" s="2" t="n">
        <f aca="false">IFERROR(ROUND(AVERAGEIF(Responses!$C$2:$C$159,$A34,Responses!M$2:M$159),2),"")</f>
        <v>2</v>
      </c>
      <c r="K34" s="2" t="n">
        <f aca="false">IFERROR(ROUND(AVERAGEIF(Responses!$C$2:$C$159,$A34,Responses!N$2:N$159),2),"")</f>
        <v>5</v>
      </c>
    </row>
    <row r="35" customFormat="false" ht="15" hidden="false" customHeight="false" outlineLevel="0" collapsed="false">
      <c r="A35" s="2" t="s">
        <v>244</v>
      </c>
      <c r="B35" s="2" t="n">
        <f aca="false">COUNTIF(Responses!$C$2:$C$159,A35)</f>
        <v>1</v>
      </c>
      <c r="C35" s="2" t="n">
        <f aca="false">IFERROR(ROUND(AVERAGEIF(Responses!$C$2:$C$159,$A35,Responses!F$2:F$159),2),"")</f>
        <v>5</v>
      </c>
      <c r="D35" s="2" t="n">
        <f aca="false">IFERROR(ROUND(AVERAGEIF(Responses!$C$2:$C$159,$A35,Responses!G$2:G$159),2),"")</f>
        <v>4</v>
      </c>
      <c r="E35" s="2" t="n">
        <f aca="false">IFERROR(ROUND(AVERAGEIF(Responses!$C$2:$C$159,$A35,Responses!H$2:H$159),2),"")</f>
        <v>2</v>
      </c>
      <c r="F35" s="2" t="n">
        <f aca="false">IFERROR(ROUND(AVERAGEIF(Responses!$C$2:$C$159,$A35,Responses!I$2:I$159),2),"")</f>
        <v>5</v>
      </c>
      <c r="G35" s="2" t="n">
        <f aca="false">IFERROR(ROUND(AVERAGEIF(Responses!$C$2:$C$159,$A35,Responses!J$2:J$159),2),"")</f>
        <v>4</v>
      </c>
      <c r="H35" s="2" t="n">
        <f aca="false">IFERROR(ROUND(AVERAGEIF(Responses!$C$2:$C$159,$A35,Responses!K$2:K$159),2),"")</f>
        <v>3</v>
      </c>
      <c r="I35" s="2" t="n">
        <f aca="false">IFERROR(ROUND(AVERAGEIF(Responses!$C$2:$C$159,$A35,Responses!L$2:L$159),2),"")</f>
        <v>2</v>
      </c>
      <c r="J35" s="2" t="n">
        <f aca="false">IFERROR(ROUND(AVERAGEIF(Responses!$C$2:$C$159,$A35,Responses!M$2:M$159),2),"")</f>
        <v>4</v>
      </c>
      <c r="K35" s="2" t="n">
        <f aca="false">IFERROR(ROUND(AVERAGEIF(Responses!$C$2:$C$159,$A35,Responses!N$2:N$159),2),"")</f>
        <v>5</v>
      </c>
    </row>
    <row r="36" customFormat="false" ht="15" hidden="false" customHeight="false" outlineLevel="0" collapsed="false">
      <c r="A36" s="2" t="s">
        <v>130</v>
      </c>
      <c r="B36" s="2" t="n">
        <f aca="false">COUNTIF(Responses!$C$2:$C$159,A36)</f>
        <v>3</v>
      </c>
      <c r="C36" s="2" t="n">
        <f aca="false">IFERROR(ROUND(AVERAGEIF(Responses!$C$2:$C$159,$A36,Responses!F$2:F$159),2),"")</f>
        <v>3</v>
      </c>
      <c r="D36" s="2" t="n">
        <f aca="false">IFERROR(ROUND(AVERAGEIF(Responses!$C$2:$C$159,$A36,Responses!G$2:G$159),2),"")</f>
        <v>3</v>
      </c>
      <c r="E36" s="2" t="n">
        <f aca="false">IFERROR(ROUND(AVERAGEIF(Responses!$C$2:$C$159,$A36,Responses!H$2:H$159),2),"")</f>
        <v>3</v>
      </c>
      <c r="F36" s="2" t="n">
        <f aca="false">IFERROR(ROUND(AVERAGEIF(Responses!$C$2:$C$159,$A36,Responses!I$2:I$159),2),"")</f>
        <v>2.33</v>
      </c>
      <c r="G36" s="2" t="n">
        <f aca="false">IFERROR(ROUND(AVERAGEIF(Responses!$C$2:$C$159,$A36,Responses!J$2:J$159),2),"")</f>
        <v>2</v>
      </c>
      <c r="H36" s="2" t="n">
        <f aca="false">IFERROR(ROUND(AVERAGEIF(Responses!$C$2:$C$159,$A36,Responses!K$2:K$159),2),"")</f>
        <v>2.33</v>
      </c>
      <c r="I36" s="2" t="n">
        <f aca="false">IFERROR(ROUND(AVERAGEIF(Responses!$C$2:$C$159,$A36,Responses!L$2:L$159),2),"")</f>
        <v>2</v>
      </c>
      <c r="J36" s="2" t="n">
        <f aca="false">IFERROR(ROUND(AVERAGEIF(Responses!$C$2:$C$159,$A36,Responses!M$2:M$159),2),"")</f>
        <v>4</v>
      </c>
      <c r="K36" s="2" t="n">
        <f aca="false">IFERROR(ROUND(AVERAGEIF(Responses!$C$2:$C$159,$A36,Responses!N$2:N$159),2),"")</f>
        <v>4.67</v>
      </c>
    </row>
    <row r="37" customFormat="false" ht="15" hidden="false" customHeight="false" outlineLevel="0" collapsed="false">
      <c r="A37" s="2" t="s">
        <v>77</v>
      </c>
      <c r="B37" s="2" t="n">
        <f aca="false">COUNTIF(Responses!$C$2:$C$159,A37)</f>
        <v>1</v>
      </c>
      <c r="C37" s="2" t="n">
        <f aca="false">IFERROR(ROUND(AVERAGEIF(Responses!$C$2:$C$159,$A37,Responses!F$2:F$159),2),"")</f>
        <v>3</v>
      </c>
      <c r="D37" s="2" t="n">
        <f aca="false">IFERROR(ROUND(AVERAGEIF(Responses!$C$2:$C$159,$A37,Responses!G$2:G$159),2),"")</f>
        <v>4</v>
      </c>
      <c r="E37" s="2" t="n">
        <f aca="false">IFERROR(ROUND(AVERAGEIF(Responses!$C$2:$C$159,$A37,Responses!H$2:H$159),2),"")</f>
        <v>3</v>
      </c>
      <c r="F37" s="2" t="n">
        <f aca="false">IFERROR(ROUND(AVERAGEIF(Responses!$C$2:$C$159,$A37,Responses!I$2:I$159),2),"")</f>
        <v>3</v>
      </c>
      <c r="G37" s="2" t="n">
        <f aca="false">IFERROR(ROUND(AVERAGEIF(Responses!$C$2:$C$159,$A37,Responses!J$2:J$159),2),"")</f>
        <v>3</v>
      </c>
      <c r="H37" s="2" t="n">
        <f aca="false">IFERROR(ROUND(AVERAGEIF(Responses!$C$2:$C$159,$A37,Responses!K$2:K$159),2),"")</f>
        <v>2</v>
      </c>
      <c r="I37" s="2" t="n">
        <f aca="false">IFERROR(ROUND(AVERAGEIF(Responses!$C$2:$C$159,$A37,Responses!L$2:L$159),2),"")</f>
        <v>4</v>
      </c>
      <c r="J37" s="2" t="n">
        <f aca="false">IFERROR(ROUND(AVERAGEIF(Responses!$C$2:$C$159,$A37,Responses!M$2:M$159),2),"")</f>
        <v>3</v>
      </c>
      <c r="K37" s="2" t="n">
        <f aca="false">IFERROR(ROUND(AVERAGEIF(Responses!$C$2:$C$159,$A37,Responses!N$2:N$159),2),"")</f>
        <v>5</v>
      </c>
    </row>
    <row r="38" customFormat="false" ht="15" hidden="false" customHeight="false" outlineLevel="0" collapsed="false">
      <c r="A38" s="2" t="s">
        <v>32</v>
      </c>
      <c r="B38" s="2" t="n">
        <f aca="false">COUNTIF(Responses!$C$2:$C$159,A38)</f>
        <v>4</v>
      </c>
      <c r="C38" s="2" t="n">
        <f aca="false">IFERROR(ROUND(AVERAGEIF(Responses!$C$2:$C$159,$A38,Responses!F$2:F$159),2),"")</f>
        <v>3.25</v>
      </c>
      <c r="D38" s="2" t="n">
        <f aca="false">IFERROR(ROUND(AVERAGEIF(Responses!$C$2:$C$159,$A38,Responses!G$2:G$159),2),"")</f>
        <v>3.25</v>
      </c>
      <c r="E38" s="2" t="n">
        <f aca="false">IFERROR(ROUND(AVERAGEIF(Responses!$C$2:$C$159,$A38,Responses!H$2:H$159),2),"")</f>
        <v>3</v>
      </c>
      <c r="F38" s="2" t="n">
        <f aca="false">IFERROR(ROUND(AVERAGEIF(Responses!$C$2:$C$159,$A38,Responses!I$2:I$159),2),"")</f>
        <v>3.75</v>
      </c>
      <c r="G38" s="2" t="n">
        <f aca="false">IFERROR(ROUND(AVERAGEIF(Responses!$C$2:$C$159,$A38,Responses!J$2:J$159),2),"")</f>
        <v>2.5</v>
      </c>
      <c r="H38" s="2" t="n">
        <f aca="false">IFERROR(ROUND(AVERAGEIF(Responses!$C$2:$C$159,$A38,Responses!K$2:K$159),2),"")</f>
        <v>2.5</v>
      </c>
      <c r="I38" s="2" t="n">
        <f aca="false">IFERROR(ROUND(AVERAGEIF(Responses!$C$2:$C$159,$A38,Responses!L$2:L$159),2),"")</f>
        <v>3.25</v>
      </c>
      <c r="J38" s="2" t="n">
        <f aca="false">IFERROR(ROUND(AVERAGEIF(Responses!$C$2:$C$159,$A38,Responses!M$2:M$159),2),"")</f>
        <v>3.5</v>
      </c>
      <c r="K38" s="2" t="n">
        <f aca="false">IFERROR(ROUND(AVERAGEIF(Responses!$C$2:$C$159,$A38,Responses!N$2:N$159),2),"")</f>
        <v>5.25</v>
      </c>
    </row>
    <row r="39" customFormat="false" ht="15" hidden="false" customHeight="false" outlineLevel="0" collapsed="false">
      <c r="A39" s="2" t="s">
        <v>24</v>
      </c>
      <c r="B39" s="2" t="n">
        <f aca="false">COUNTIF(Responses!$C$2:$C$159,A39)</f>
        <v>2</v>
      </c>
      <c r="C39" s="2" t="n">
        <f aca="false">IFERROR(ROUND(AVERAGEIF(Responses!$C$2:$C$159,$A39,Responses!F$2:F$159),2),"")</f>
        <v>3</v>
      </c>
      <c r="D39" s="2" t="n">
        <f aca="false">IFERROR(ROUND(AVERAGEIF(Responses!$C$2:$C$159,$A39,Responses!G$2:G$159),2),"")</f>
        <v>3</v>
      </c>
      <c r="E39" s="2" t="n">
        <f aca="false">IFERROR(ROUND(AVERAGEIF(Responses!$C$2:$C$159,$A39,Responses!H$2:H$159),2),"")</f>
        <v>2</v>
      </c>
      <c r="F39" s="2" t="n">
        <f aca="false">IFERROR(ROUND(AVERAGEIF(Responses!$C$2:$C$159,$A39,Responses!I$2:I$159),2),"")</f>
        <v>3</v>
      </c>
      <c r="G39" s="2" t="n">
        <f aca="false">IFERROR(ROUND(AVERAGEIF(Responses!$C$2:$C$159,$A39,Responses!J$2:J$159),2),"")</f>
        <v>2.5</v>
      </c>
      <c r="H39" s="2" t="n">
        <f aca="false">IFERROR(ROUND(AVERAGEIF(Responses!$C$2:$C$159,$A39,Responses!K$2:K$159),2),"")</f>
        <v>1.5</v>
      </c>
      <c r="I39" s="2" t="n">
        <f aca="false">IFERROR(ROUND(AVERAGEIF(Responses!$C$2:$C$159,$A39,Responses!L$2:L$159),2),"")</f>
        <v>1</v>
      </c>
      <c r="J39" s="2" t="n">
        <f aca="false">IFERROR(ROUND(AVERAGEIF(Responses!$C$2:$C$159,$A39,Responses!M$2:M$159),2),"")</f>
        <v>2.5</v>
      </c>
      <c r="K39" s="2" t="n">
        <f aca="false">IFERROR(ROUND(AVERAGEIF(Responses!$C$2:$C$159,$A39,Responses!N$2:N$159),2),"")</f>
        <v>5</v>
      </c>
    </row>
    <row r="40" customFormat="false" ht="15" hidden="false" customHeight="false" outlineLevel="0" collapsed="false">
      <c r="A40" s="2" t="s">
        <v>152</v>
      </c>
      <c r="B40" s="2" t="n">
        <f aca="false">COUNTIF(Responses!$C$2:$C$159,A40)</f>
        <v>3</v>
      </c>
      <c r="C40" s="2" t="n">
        <f aca="false">IFERROR(ROUND(AVERAGEIF(Responses!$C$2:$C$159,$A40,Responses!F$2:F$159),2),"")</f>
        <v>2.67</v>
      </c>
      <c r="D40" s="2" t="n">
        <f aca="false">IFERROR(ROUND(AVERAGEIF(Responses!$C$2:$C$159,$A40,Responses!G$2:G$159),2),"")</f>
        <v>2.33</v>
      </c>
      <c r="E40" s="2" t="n">
        <f aca="false">IFERROR(ROUND(AVERAGEIF(Responses!$C$2:$C$159,$A40,Responses!H$2:H$159),2),"")</f>
        <v>2</v>
      </c>
      <c r="F40" s="2" t="n">
        <f aca="false">IFERROR(ROUND(AVERAGEIF(Responses!$C$2:$C$159,$A40,Responses!I$2:I$159),2),"")</f>
        <v>2</v>
      </c>
      <c r="G40" s="2" t="n">
        <f aca="false">IFERROR(ROUND(AVERAGEIF(Responses!$C$2:$C$159,$A40,Responses!J$2:J$159),2),"")</f>
        <v>1.33</v>
      </c>
      <c r="H40" s="2" t="n">
        <f aca="false">IFERROR(ROUND(AVERAGEIF(Responses!$C$2:$C$159,$A40,Responses!K$2:K$159),2),"")</f>
        <v>1.67</v>
      </c>
      <c r="I40" s="2" t="n">
        <f aca="false">IFERROR(ROUND(AVERAGEIF(Responses!$C$2:$C$159,$A40,Responses!L$2:L$159),2),"")</f>
        <v>1.33</v>
      </c>
      <c r="J40" s="2" t="n">
        <f aca="false">IFERROR(ROUND(AVERAGEIF(Responses!$C$2:$C$159,$A40,Responses!M$2:M$159),2),"")</f>
        <v>1.33</v>
      </c>
      <c r="K40" s="2" t="n">
        <f aca="false">IFERROR(ROUND(AVERAGEIF(Responses!$C$2:$C$159,$A40,Responses!N$2:N$159),2),"")</f>
        <v>1.67</v>
      </c>
    </row>
    <row r="41" customFormat="false" ht="15" hidden="false" customHeight="false" outlineLevel="0" collapsed="false">
      <c r="A41" s="2" t="s">
        <v>64</v>
      </c>
      <c r="B41" s="2" t="n">
        <f aca="false">COUNTIF(Responses!$C$2:$C$159,A41)</f>
        <v>2</v>
      </c>
      <c r="C41" s="2" t="n">
        <f aca="false">IFERROR(ROUND(AVERAGEIF(Responses!$C$2:$C$159,$A41,Responses!F$2:F$159),2),"")</f>
        <v>2</v>
      </c>
      <c r="D41" s="2" t="n">
        <f aca="false">IFERROR(ROUND(AVERAGEIF(Responses!$C$2:$C$159,$A41,Responses!G$2:G$159),2),"")</f>
        <v>1.5</v>
      </c>
      <c r="E41" s="2" t="n">
        <f aca="false">IFERROR(ROUND(AVERAGEIF(Responses!$C$2:$C$159,$A41,Responses!H$2:H$159),2),"")</f>
        <v>1.5</v>
      </c>
      <c r="F41" s="2" t="n">
        <f aca="false">IFERROR(ROUND(AVERAGEIF(Responses!$C$2:$C$159,$A41,Responses!I$2:I$159),2),"")</f>
        <v>1</v>
      </c>
      <c r="G41" s="2" t="n">
        <f aca="false">IFERROR(ROUND(AVERAGEIF(Responses!$C$2:$C$159,$A41,Responses!J$2:J$159),2),"")</f>
        <v>1.5</v>
      </c>
      <c r="H41" s="2" t="n">
        <f aca="false">IFERROR(ROUND(AVERAGEIF(Responses!$C$2:$C$159,$A41,Responses!K$2:K$159),2),"")</f>
        <v>1</v>
      </c>
      <c r="I41" s="2" t="n">
        <f aca="false">IFERROR(ROUND(AVERAGEIF(Responses!$C$2:$C$159,$A41,Responses!L$2:L$159),2),"")</f>
        <v>1</v>
      </c>
      <c r="J41" s="2" t="n">
        <f aca="false">IFERROR(ROUND(AVERAGEIF(Responses!$C$2:$C$159,$A41,Responses!M$2:M$159),2),"")</f>
        <v>2</v>
      </c>
      <c r="K41" s="2" t="n">
        <f aca="false">IFERROR(ROUND(AVERAGEIF(Responses!$C$2:$C$159,$A41,Responses!N$2:N$159),2),"")</f>
        <v>0.5</v>
      </c>
    </row>
    <row r="42" customFormat="false" ht="15" hidden="false" customHeight="false" outlineLevel="0" collapsed="false">
      <c r="A42" s="2" t="s">
        <v>188</v>
      </c>
      <c r="B42" s="2" t="n">
        <f aca="false">COUNTIF(Responses!$C$2:$C$159,A42)</f>
        <v>1</v>
      </c>
      <c r="C42" s="2" t="n">
        <f aca="false">IFERROR(ROUND(AVERAGEIF(Responses!$C$2:$C$159,$A42,Responses!F$2:F$159),2),"")</f>
        <v>2</v>
      </c>
      <c r="D42" s="2" t="n">
        <f aca="false">IFERROR(ROUND(AVERAGEIF(Responses!$C$2:$C$159,$A42,Responses!G$2:G$159),2),"")</f>
        <v>3</v>
      </c>
      <c r="E42" s="2" t="n">
        <f aca="false">IFERROR(ROUND(AVERAGEIF(Responses!$C$2:$C$159,$A42,Responses!H$2:H$159),2),"")</f>
        <v>3</v>
      </c>
      <c r="F42" s="2" t="n">
        <f aca="false">IFERROR(ROUND(AVERAGEIF(Responses!$C$2:$C$159,$A42,Responses!I$2:I$159),2),"")</f>
        <v>3</v>
      </c>
      <c r="G42" s="2" t="n">
        <f aca="false">IFERROR(ROUND(AVERAGEIF(Responses!$C$2:$C$159,$A42,Responses!J$2:J$159),2),"")</f>
        <v>5</v>
      </c>
      <c r="H42" s="2" t="n">
        <f aca="false">IFERROR(ROUND(AVERAGEIF(Responses!$C$2:$C$159,$A42,Responses!K$2:K$159),2),"")</f>
        <v>3</v>
      </c>
      <c r="I42" s="2" t="n">
        <f aca="false">IFERROR(ROUND(AVERAGEIF(Responses!$C$2:$C$159,$A42,Responses!L$2:L$159),2),"")</f>
        <v>2</v>
      </c>
      <c r="J42" s="2" t="n">
        <f aca="false">IFERROR(ROUND(AVERAGEIF(Responses!$C$2:$C$159,$A42,Responses!M$2:M$159),2),"")</f>
        <v>3</v>
      </c>
      <c r="K42" s="2" t="n">
        <f aca="false">IFERROR(ROUND(AVERAGEIF(Responses!$C$2:$C$159,$A42,Responses!N$2:N$159),2),"")</f>
        <v>3</v>
      </c>
    </row>
    <row r="43" customFormat="false" ht="15" hidden="false" customHeight="false" outlineLevel="0" collapsed="false">
      <c r="A43" s="2" t="s">
        <v>199</v>
      </c>
      <c r="B43" s="2" t="n">
        <f aca="false">COUNTIF(Responses!$C$2:$C$159,A43)</f>
        <v>1</v>
      </c>
      <c r="C43" s="2" t="n">
        <f aca="false">IFERROR(ROUND(AVERAGEIF(Responses!$C$2:$C$159,$A43,Responses!F$2:F$159),2),"")</f>
        <v>4</v>
      </c>
      <c r="D43" s="2" t="n">
        <f aca="false">IFERROR(ROUND(AVERAGEIF(Responses!$C$2:$C$159,$A43,Responses!G$2:G$159),2),"")</f>
        <v>4</v>
      </c>
      <c r="E43" s="2" t="n">
        <f aca="false">IFERROR(ROUND(AVERAGEIF(Responses!$C$2:$C$159,$A43,Responses!H$2:H$159),2),"")</f>
        <v>4</v>
      </c>
      <c r="F43" s="2" t="n">
        <f aca="false">IFERROR(ROUND(AVERAGEIF(Responses!$C$2:$C$159,$A43,Responses!I$2:I$159),2),"")</f>
        <v>4</v>
      </c>
      <c r="G43" s="2" t="n">
        <f aca="false">IFERROR(ROUND(AVERAGEIF(Responses!$C$2:$C$159,$A43,Responses!J$2:J$159),2),"")</f>
        <v>4</v>
      </c>
      <c r="H43" s="2" t="n">
        <f aca="false">IFERROR(ROUND(AVERAGEIF(Responses!$C$2:$C$159,$A43,Responses!K$2:K$159),2),"")</f>
        <v>2</v>
      </c>
      <c r="I43" s="2" t="n">
        <f aca="false">IFERROR(ROUND(AVERAGEIF(Responses!$C$2:$C$159,$A43,Responses!L$2:L$159),2),"")</f>
        <v>3</v>
      </c>
      <c r="J43" s="2" t="n">
        <f aca="false">IFERROR(ROUND(AVERAGEIF(Responses!$C$2:$C$159,$A43,Responses!M$2:M$159),2),"")</f>
        <v>4</v>
      </c>
      <c r="K43" s="2" t="n">
        <f aca="false">IFERROR(ROUND(AVERAGEIF(Responses!$C$2:$C$159,$A43,Responses!N$2:N$159),2),"")</f>
        <v>6</v>
      </c>
    </row>
    <row r="44" customFormat="false" ht="15" hidden="false" customHeight="false" outlineLevel="0" collapsed="false">
      <c r="A44" s="2" t="s">
        <v>18</v>
      </c>
      <c r="B44" s="2" t="n">
        <f aca="false">COUNTIF(Responses!$C$2:$C$159,A44)</f>
        <v>5</v>
      </c>
      <c r="C44" s="2" t="n">
        <f aca="false">IFERROR(ROUND(AVERAGEIF(Responses!$C$2:$C$159,$A44,Responses!F$2:F$159),2),"")</f>
        <v>2.6</v>
      </c>
      <c r="D44" s="2" t="n">
        <f aca="false">IFERROR(ROUND(AVERAGEIF(Responses!$C$2:$C$159,$A44,Responses!G$2:G$159),2),"")</f>
        <v>3.2</v>
      </c>
      <c r="E44" s="2" t="n">
        <f aca="false">IFERROR(ROUND(AVERAGEIF(Responses!$C$2:$C$159,$A44,Responses!H$2:H$159),2),"")</f>
        <v>1.8</v>
      </c>
      <c r="F44" s="2" t="n">
        <f aca="false">IFERROR(ROUND(AVERAGEIF(Responses!$C$2:$C$159,$A44,Responses!I$2:I$159),2),"")</f>
        <v>2.8</v>
      </c>
      <c r="G44" s="2" t="n">
        <f aca="false">IFERROR(ROUND(AVERAGEIF(Responses!$C$2:$C$159,$A44,Responses!J$2:J$159),2),"")</f>
        <v>2.4</v>
      </c>
      <c r="H44" s="2" t="n">
        <f aca="false">IFERROR(ROUND(AVERAGEIF(Responses!$C$2:$C$159,$A44,Responses!K$2:K$159),2),"")</f>
        <v>2.2</v>
      </c>
      <c r="I44" s="2" t="n">
        <f aca="false">IFERROR(ROUND(AVERAGEIF(Responses!$C$2:$C$159,$A44,Responses!L$2:L$159),2),"")</f>
        <v>1.8</v>
      </c>
      <c r="J44" s="2" t="n">
        <f aca="false">IFERROR(ROUND(AVERAGEIF(Responses!$C$2:$C$159,$A44,Responses!M$2:M$159),2),"")</f>
        <v>3</v>
      </c>
      <c r="K44" s="2" t="n">
        <f aca="false">IFERROR(ROUND(AVERAGEIF(Responses!$C$2:$C$159,$A44,Responses!N$2:N$159),2),"")</f>
        <v>4.4</v>
      </c>
    </row>
    <row r="45" customFormat="false" ht="15" hidden="false" customHeight="false" outlineLevel="0" collapsed="false">
      <c r="A45" s="2" t="s">
        <v>144</v>
      </c>
      <c r="B45" s="2" t="n">
        <f aca="false">COUNTIF(Responses!$C$2:$C$159,A45)</f>
        <v>6</v>
      </c>
      <c r="C45" s="2" t="n">
        <f aca="false">IFERROR(ROUND(AVERAGEIF(Responses!$C$2:$C$159,$A45,Responses!F$2:F$159),2),"")</f>
        <v>2.67</v>
      </c>
      <c r="D45" s="2" t="n">
        <f aca="false">IFERROR(ROUND(AVERAGEIF(Responses!$C$2:$C$159,$A45,Responses!G$2:G$159),2),"")</f>
        <v>2.83</v>
      </c>
      <c r="E45" s="2" t="n">
        <f aca="false">IFERROR(ROUND(AVERAGEIF(Responses!$C$2:$C$159,$A45,Responses!H$2:H$159),2),"")</f>
        <v>3</v>
      </c>
      <c r="F45" s="2" t="n">
        <f aca="false">IFERROR(ROUND(AVERAGEIF(Responses!$C$2:$C$159,$A45,Responses!I$2:I$159),2),"")</f>
        <v>2.67</v>
      </c>
      <c r="G45" s="2" t="n">
        <f aca="false">IFERROR(ROUND(AVERAGEIF(Responses!$C$2:$C$159,$A45,Responses!J$2:J$159),2),"")</f>
        <v>2.33</v>
      </c>
      <c r="H45" s="2" t="n">
        <f aca="false">IFERROR(ROUND(AVERAGEIF(Responses!$C$2:$C$159,$A45,Responses!K$2:K$159),2),"")</f>
        <v>2.17</v>
      </c>
      <c r="I45" s="2" t="n">
        <f aca="false">IFERROR(ROUND(AVERAGEIF(Responses!$C$2:$C$159,$A45,Responses!L$2:L$159),2),"")</f>
        <v>2.83</v>
      </c>
      <c r="J45" s="2" t="n">
        <f aca="false">IFERROR(ROUND(AVERAGEIF(Responses!$C$2:$C$159,$A45,Responses!M$2:M$159),2),"")</f>
        <v>3</v>
      </c>
      <c r="K45" s="2" t="n">
        <f aca="false">IFERROR(ROUND(AVERAGEIF(Responses!$C$2:$C$159,$A45,Responses!N$2:N$159),2),"")</f>
        <v>4.5</v>
      </c>
    </row>
    <row r="46" customFormat="false" ht="15" hidden="false" customHeight="false" outlineLevel="0" collapsed="false">
      <c r="A46" s="2" t="s">
        <v>135</v>
      </c>
      <c r="B46" s="2" t="n">
        <f aca="false">COUNTIF(Responses!$C$2:$C$159,A46)</f>
        <v>3</v>
      </c>
      <c r="C46" s="2" t="n">
        <f aca="false">IFERROR(ROUND(AVERAGEIF(Responses!$C$2:$C$159,$A46,Responses!F$2:F$159),2),"")</f>
        <v>3</v>
      </c>
      <c r="D46" s="2" t="n">
        <f aca="false">IFERROR(ROUND(AVERAGEIF(Responses!$C$2:$C$159,$A46,Responses!G$2:G$159),2),"")</f>
        <v>2.67</v>
      </c>
      <c r="E46" s="2" t="n">
        <f aca="false">IFERROR(ROUND(AVERAGEIF(Responses!$C$2:$C$159,$A46,Responses!H$2:H$159),2),"")</f>
        <v>3</v>
      </c>
      <c r="F46" s="2" t="n">
        <f aca="false">IFERROR(ROUND(AVERAGEIF(Responses!$C$2:$C$159,$A46,Responses!I$2:I$159),2),"")</f>
        <v>3</v>
      </c>
      <c r="G46" s="2" t="n">
        <f aca="false">IFERROR(ROUND(AVERAGEIF(Responses!$C$2:$C$159,$A46,Responses!J$2:J$159),2),"")</f>
        <v>2</v>
      </c>
      <c r="H46" s="2" t="n">
        <f aca="false">IFERROR(ROUND(AVERAGEIF(Responses!$C$2:$C$159,$A46,Responses!K$2:K$159),2),"")</f>
        <v>2.33</v>
      </c>
      <c r="I46" s="2" t="n">
        <f aca="false">IFERROR(ROUND(AVERAGEIF(Responses!$C$2:$C$159,$A46,Responses!L$2:L$159),2),"")</f>
        <v>2.67</v>
      </c>
      <c r="J46" s="2" t="n">
        <f aca="false">IFERROR(ROUND(AVERAGEIF(Responses!$C$2:$C$159,$A46,Responses!M$2:M$159),2),"")</f>
        <v>2.33</v>
      </c>
      <c r="K46" s="2" t="n">
        <f aca="false">IFERROR(ROUND(AVERAGEIF(Responses!$C$2:$C$159,$A46,Responses!N$2:N$159),2),"")</f>
        <v>4</v>
      </c>
    </row>
    <row r="47" customFormat="false" ht="15" hidden="false" customHeight="false" outlineLevel="0" collapsed="false">
      <c r="A47" s="2" t="s">
        <v>62</v>
      </c>
      <c r="B47" s="2" t="n">
        <f aca="false">COUNTIF(Responses!$C$2:$C$159,A47)</f>
        <v>4</v>
      </c>
      <c r="C47" s="2" t="n">
        <f aca="false">IFERROR(ROUND(AVERAGEIF(Responses!$C$2:$C$159,$A47,Responses!F$2:F$159),2),"")</f>
        <v>3.75</v>
      </c>
      <c r="D47" s="2" t="n">
        <f aca="false">IFERROR(ROUND(AVERAGEIF(Responses!$C$2:$C$159,$A47,Responses!G$2:G$159),2),"")</f>
        <v>3.25</v>
      </c>
      <c r="E47" s="2" t="n">
        <f aca="false">IFERROR(ROUND(AVERAGEIF(Responses!$C$2:$C$159,$A47,Responses!H$2:H$159),2),"")</f>
        <v>3.25</v>
      </c>
      <c r="F47" s="2" t="n">
        <f aca="false">IFERROR(ROUND(AVERAGEIF(Responses!$C$2:$C$159,$A47,Responses!I$2:I$159),2),"")</f>
        <v>2.75</v>
      </c>
      <c r="G47" s="2" t="n">
        <f aca="false">IFERROR(ROUND(AVERAGEIF(Responses!$C$2:$C$159,$A47,Responses!J$2:J$159),2),"")</f>
        <v>4</v>
      </c>
      <c r="H47" s="2" t="n">
        <f aca="false">IFERROR(ROUND(AVERAGEIF(Responses!$C$2:$C$159,$A47,Responses!K$2:K$159),2),"")</f>
        <v>3.5</v>
      </c>
      <c r="I47" s="2" t="n">
        <f aca="false">IFERROR(ROUND(AVERAGEIF(Responses!$C$2:$C$159,$A47,Responses!L$2:L$159),2),"")</f>
        <v>2.75</v>
      </c>
      <c r="J47" s="2" t="n">
        <f aca="false">IFERROR(ROUND(AVERAGEIF(Responses!$C$2:$C$159,$A47,Responses!M$2:M$159),2),"")</f>
        <v>3.75</v>
      </c>
      <c r="K47" s="2" t="n">
        <f aca="false">IFERROR(ROUND(AVERAGEIF(Responses!$C$2:$C$159,$A47,Responses!N$2:N$159),2),"")</f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" t="s">
        <v>281</v>
      </c>
      <c r="B1" s="4" t="s">
        <v>282</v>
      </c>
    </row>
    <row r="2" customFormat="false" ht="23.85" hidden="false" customHeight="false" outlineLevel="0" collapsed="false">
      <c r="A2" s="6" t="s">
        <v>283</v>
      </c>
      <c r="B2" s="7" t="s">
        <v>284</v>
      </c>
    </row>
    <row r="3" customFormat="false" ht="23.85" hidden="false" customHeight="false" outlineLevel="0" collapsed="false">
      <c r="A3" s="6" t="s">
        <v>285</v>
      </c>
      <c r="B3" s="7" t="s">
        <v>286</v>
      </c>
    </row>
    <row r="4" customFormat="false" ht="15" hidden="false" customHeight="false" outlineLevel="0" collapsed="false">
      <c r="A4" s="6" t="s">
        <v>287</v>
      </c>
      <c r="B4" s="7" t="s">
        <v>288</v>
      </c>
    </row>
    <row r="5" customFormat="false" ht="15" hidden="false" customHeight="false" outlineLevel="0" collapsed="false">
      <c r="A5" s="6" t="s">
        <v>289</v>
      </c>
      <c r="B5" s="7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2026-09-07T19:48:32Z</dcterms:created>
  <dc:creator>Legal Operations</dc:creator>
  <dc:description/>
  <dc:language>en-US</dc:language>
  <cp:lastModifiedBy/>
  <dcterms:modified xsi:type="dcterms:W3CDTF">2026-09-07T19:48:32Z</dcterms:modified>
  <cp:revision>0</cp:revision>
  <dc:subject/>
  <dc:title>Legal Technology Pulse Survey, July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