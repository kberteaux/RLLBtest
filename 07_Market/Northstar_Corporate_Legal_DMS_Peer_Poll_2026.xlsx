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el" sheetId="1" state="visible" r:id="rId3"/>
    <sheet name="Summary" sheetId="2" state="visible" r:id="rId4"/>
    <sheet name="About" sheetId="3" state="visible" r:id="rId5"/>
  </sheets>
  <definedNames>
    <definedName function="false" hidden="true" localSheetId="0" name="_xlnm._FilterDatabase" vbProcedure="false">Panel!$A$1:$P$61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<sst xmlns="http://schemas.openxmlformats.org/spreadsheetml/2006/main" count="585" uniqueCount="126">
  <si>
    <t xml:space="preserve">panel_id</t>
  </si>
  <si>
    <t xml:space="preserve">industry</t>
  </si>
  <si>
    <t xml:space="preserve">region</t>
  </si>
  <si>
    <t xml:space="preserve">legal_dept_users</t>
  </si>
  <si>
    <t xml:space="preserve">dms_platform</t>
  </si>
  <si>
    <t xml:space="preserve">effective_price_per_user_month_usd</t>
  </si>
  <si>
    <t xml:space="preserve">satisfaction_1_to_5</t>
  </si>
  <si>
    <t xml:space="preserve">evaluating_alternatives_next_12m</t>
  </si>
  <si>
    <t xml:space="preserve">contract_has_ai_data_use_clause</t>
  </si>
  <si>
    <t xml:space="preserve">ai_clause_tenant_scoped_only</t>
  </si>
  <si>
    <t xml:space="preserve">last_renewal_proposed_uplift_pct</t>
  </si>
  <si>
    <t xml:space="preserve">last_renewal_negotiated_uplift_pct</t>
  </si>
  <si>
    <t xml:space="preserve">ran_competitive_check_before_renewal</t>
  </si>
  <si>
    <t xml:space="preserve">notice_period_days</t>
  </si>
  <si>
    <t xml:space="preserve">sla_measurement_period</t>
  </si>
  <si>
    <t xml:space="preserve">last_renewal_year</t>
  </si>
  <si>
    <t xml:space="preserve">P001</t>
  </si>
  <si>
    <t xml:space="preserve">Financial services</t>
  </si>
  <si>
    <t xml:space="preserve">UK / Ireland</t>
  </si>
  <si>
    <t xml:space="preserve">Pied Piper Vault</t>
  </si>
  <si>
    <t xml:space="preserve">No</t>
  </si>
  <si>
    <t xml:space="preserve">n/a</t>
  </si>
  <si>
    <t xml:space="preserve">Annual</t>
  </si>
  <si>
    <t xml:space="preserve">P002</t>
  </si>
  <si>
    <t xml:space="preserve">Healthcare</t>
  </si>
  <si>
    <t xml:space="preserve">US</t>
  </si>
  <si>
    <t xml:space="preserve">Monthly</t>
  </si>
  <si>
    <t xml:space="preserve">P003</t>
  </si>
  <si>
    <t xml:space="preserve">Telecommunications</t>
  </si>
  <si>
    <t xml:space="preserve">Archstone DMS</t>
  </si>
  <si>
    <t xml:space="preserve">Yes</t>
  </si>
  <si>
    <t xml:space="preserve">P004</t>
  </si>
  <si>
    <t xml:space="preserve">EU</t>
  </si>
  <si>
    <t xml:space="preserve">Hooli Docs</t>
  </si>
  <si>
    <t xml:space="preserve">P005</t>
  </si>
  <si>
    <t xml:space="preserve">Insurance</t>
  </si>
  <si>
    <t xml:space="preserve">Other</t>
  </si>
  <si>
    <t xml:space="preserve">Quarterly</t>
  </si>
  <si>
    <t xml:space="preserve">P006</t>
  </si>
  <si>
    <t xml:space="preserve">Industrial / manufacturing</t>
  </si>
  <si>
    <t xml:space="preserve">P007</t>
  </si>
  <si>
    <t xml:space="preserve">Media</t>
  </si>
  <si>
    <t xml:space="preserve">P008</t>
  </si>
  <si>
    <t xml:space="preserve">Transportation / logistics</t>
  </si>
  <si>
    <t xml:space="preserve">P009</t>
  </si>
  <si>
    <t xml:space="preserve">Technology</t>
  </si>
  <si>
    <t xml:space="preserve">P010</t>
  </si>
  <si>
    <t xml:space="preserve">P011</t>
  </si>
  <si>
    <t xml:space="preserve">P012</t>
  </si>
  <si>
    <t xml:space="preserve">Energy</t>
  </si>
  <si>
    <t xml:space="preserve">P013</t>
  </si>
  <si>
    <t xml:space="preserve">P014</t>
  </si>
  <si>
    <t xml:space="preserve">Retail / consumer</t>
  </si>
  <si>
    <t xml:space="preserve">P015</t>
  </si>
  <si>
    <t xml:space="preserve">P016</t>
  </si>
  <si>
    <t xml:space="preserve">P017</t>
  </si>
  <si>
    <t xml:space="preserve">P018</t>
  </si>
  <si>
    <t xml:space="preserve">Canada</t>
  </si>
  <si>
    <t xml:space="preserve">P019</t>
  </si>
  <si>
    <t xml:space="preserve">P020</t>
  </si>
  <si>
    <t xml:space="preserve">P021</t>
  </si>
  <si>
    <t xml:space="preserve">P022</t>
  </si>
  <si>
    <t xml:space="preserve">P023</t>
  </si>
  <si>
    <t xml:space="preserve">P024</t>
  </si>
  <si>
    <t xml:space="preserve">P025</t>
  </si>
  <si>
    <t xml:space="preserve">P026</t>
  </si>
  <si>
    <t xml:space="preserve">P027</t>
  </si>
  <si>
    <t xml:space="preserve">P028</t>
  </si>
  <si>
    <t xml:space="preserve">P029</t>
  </si>
  <si>
    <t xml:space="preserve">P030</t>
  </si>
  <si>
    <t xml:space="preserve">P031</t>
  </si>
  <si>
    <t xml:space="preserve">P032</t>
  </si>
  <si>
    <t xml:space="preserve">P033</t>
  </si>
  <si>
    <t xml:space="preserve">P034</t>
  </si>
  <si>
    <t xml:space="preserve">P035</t>
  </si>
  <si>
    <t xml:space="preserve">P036</t>
  </si>
  <si>
    <t xml:space="preserve">P037</t>
  </si>
  <si>
    <t xml:space="preserve">P038</t>
  </si>
  <si>
    <t xml:space="preserve">P039</t>
  </si>
  <si>
    <t xml:space="preserve">P040</t>
  </si>
  <si>
    <t xml:space="preserve">P041</t>
  </si>
  <si>
    <t xml:space="preserve">P042</t>
  </si>
  <si>
    <t xml:space="preserve">P043</t>
  </si>
  <si>
    <t xml:space="preserve">P044</t>
  </si>
  <si>
    <t xml:space="preserve">P045</t>
  </si>
  <si>
    <t xml:space="preserve">P046</t>
  </si>
  <si>
    <t xml:space="preserve">P047</t>
  </si>
  <si>
    <t xml:space="preserve">P048</t>
  </si>
  <si>
    <t xml:space="preserve">P049</t>
  </si>
  <si>
    <t xml:space="preserve">P050</t>
  </si>
  <si>
    <t xml:space="preserve">P051</t>
  </si>
  <si>
    <t xml:space="preserve">P052</t>
  </si>
  <si>
    <t xml:space="preserve">P053</t>
  </si>
  <si>
    <t xml:space="preserve">P054</t>
  </si>
  <si>
    <t xml:space="preserve">P055</t>
  </si>
  <si>
    <t xml:space="preserve">P056</t>
  </si>
  <si>
    <t xml:space="preserve">P057</t>
  </si>
  <si>
    <t xml:space="preserve">P058</t>
  </si>
  <si>
    <t xml:space="preserve">P059</t>
  </si>
  <si>
    <t xml:space="preserve">P060</t>
  </si>
  <si>
    <t xml:space="preserve">Metric</t>
  </si>
  <si>
    <t xml:space="preserve">All platforms</t>
  </si>
  <si>
    <t xml:space="preserve">Departments in panel</t>
  </si>
  <si>
    <t xml:space="preserve">Effective price per user per month, mean</t>
  </si>
  <si>
    <t xml:space="preserve">Effective price, 25th percentile</t>
  </si>
  <si>
    <t xml:space="preserve">Effective price, median</t>
  </si>
  <si>
    <t xml:space="preserve">Effective price, 75th percentile</t>
  </si>
  <si>
    <t xml:space="preserve">Satisfaction, mean (1 to 5)</t>
  </si>
  <si>
    <t xml:space="preserve">Share evaluating alternatives in next 12 months</t>
  </si>
  <si>
    <t xml:space="preserve">Share with an AI data-use clause</t>
  </si>
  <si>
    <t xml:space="preserve">Of those, share tenant-scoped only</t>
  </si>
  <si>
    <t xml:space="preserve">Median proposed uplift at last renewal (%)</t>
  </si>
  <si>
    <t xml:space="preserve">Median negotiated uplift, ran competitive check (%)</t>
  </si>
  <si>
    <t xml:space="preserve">Median negotiated uplift, no competitive check (%)</t>
  </si>
  <si>
    <t xml:space="preserve">Share with notice period of 120 days or more</t>
  </si>
  <si>
    <t xml:space="preserve">Share with annual SLA measurement</t>
  </si>
  <si>
    <t xml:space="preserve">Item</t>
  </si>
  <si>
    <t xml:space="preserve">Note</t>
  </si>
  <si>
    <t xml:space="preserve">Source</t>
  </si>
  <si>
    <t xml:space="preserve">Northstar Legal Technology Index, Corporate Legal DMS Peer Poll 2026. Fielded May to June 2026 among corporate legal departments with 150 to 500 legal staff. 60 responding departments; identities anonymized.</t>
  </si>
  <si>
    <t xml:space="preserve">Effective price</t>
  </si>
  <si>
    <t xml:space="preserve">Negotiated per-user monthly price for the core DMS excluding storage, professional services, and premium support, as reported by the department. For suite modules this is the incremental price under the enterprise agreement where one exists.</t>
  </si>
  <si>
    <t xml:space="preserve">Uplift</t>
  </si>
  <si>
    <t xml:space="preserve">Proposed and negotiated percentage increases at the department's most recent renewal. Blank where the department has not yet renewed on the current platform.</t>
  </si>
  <si>
    <t xml:space="preserve">Use</t>
  </si>
  <si>
    <t xml:space="preserve">Provided to Vandelay Legal Operations under Northstar's member license. Not for redistribution.</t>
  </si>
</sst>
</file>

<file path=xl/styles.xml><?xml version="1.0" encoding="utf-8"?>
<styleSheet xmlns="http://schemas.openxmlformats.org/spreadsheetml/2006/main">
  <numFmts count="3">
    <numFmt numFmtId="164" formatCode="General"/>
    <numFmt numFmtId="165" formatCode="\$#,##0.00"/>
    <numFmt numFmtId="166" formatCode="0%"/>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3">
    <fill>
      <patternFill patternType="none"/>
    </fill>
    <fill>
      <patternFill patternType="gray125"/>
    </fill>
    <fill>
      <patternFill patternType="solid">
        <fgColor rgb="FF1A1814"/>
        <bgColor rgb="FF000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A181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A1814"/>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2"/>
    <col collapsed="false" customWidth="true" hidden="false" outlineLevel="0" max="4" min="4" style="0" width="10"/>
    <col collapsed="false" customWidth="true" hidden="false" outlineLevel="0" max="5" min="5" style="0" width="18"/>
    <col collapsed="false" customWidth="true" hidden="false" outlineLevel="0" max="6" min="6" style="0" width="14"/>
    <col collapsed="false" customWidth="true" hidden="false" outlineLevel="0" max="7" min="7" style="0" width="12"/>
    <col collapsed="false" customWidth="true" hidden="false" outlineLevel="0" max="13" min="8" style="0" width="14"/>
    <col collapsed="false" customWidth="true" hidden="false" outlineLevel="0" max="14" min="14" style="0" width="10"/>
    <col collapsed="false" customWidth="true" hidden="false" outlineLevel="0" max="15" min="15" style="0" width="12"/>
    <col collapsed="false" customWidth="true" hidden="false" outlineLevel="0" max="16" min="16" style="0" width="10"/>
  </cols>
  <sheetData>
    <row r="1" customFormat="false" ht="48"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2" t="s">
        <v>16</v>
      </c>
      <c r="B2" s="2" t="s">
        <v>17</v>
      </c>
      <c r="C2" s="2" t="s">
        <v>18</v>
      </c>
      <c r="D2" s="2" t="n">
        <v>260</v>
      </c>
      <c r="E2" s="2" t="s">
        <v>19</v>
      </c>
      <c r="F2" s="3" t="n">
        <v>37.22</v>
      </c>
      <c r="G2" s="2" t="n">
        <v>4.6</v>
      </c>
      <c r="H2" s="2" t="s">
        <v>20</v>
      </c>
      <c r="I2" s="2" t="s">
        <v>20</v>
      </c>
      <c r="J2" s="2" t="s">
        <v>21</v>
      </c>
      <c r="K2" s="2" t="n">
        <v>3</v>
      </c>
      <c r="L2" s="2" t="n">
        <v>2</v>
      </c>
      <c r="M2" s="2" t="s">
        <v>20</v>
      </c>
      <c r="N2" s="2" t="n">
        <v>90</v>
      </c>
      <c r="O2" s="2" t="s">
        <v>22</v>
      </c>
      <c r="P2" s="2" t="n">
        <v>2025</v>
      </c>
    </row>
    <row r="3" customFormat="false" ht="15" hidden="false" customHeight="false" outlineLevel="0" collapsed="false">
      <c r="A3" s="2" t="s">
        <v>23</v>
      </c>
      <c r="B3" s="2" t="s">
        <v>24</v>
      </c>
      <c r="C3" s="2" t="s">
        <v>25</v>
      </c>
      <c r="D3" s="2" t="n">
        <v>380</v>
      </c>
      <c r="E3" s="2" t="s">
        <v>19</v>
      </c>
      <c r="F3" s="3" t="n">
        <v>44.05</v>
      </c>
      <c r="G3" s="2" t="n">
        <v>4.4</v>
      </c>
      <c r="H3" s="2" t="s">
        <v>20</v>
      </c>
      <c r="I3" s="2" t="s">
        <v>20</v>
      </c>
      <c r="J3" s="2" t="s">
        <v>21</v>
      </c>
      <c r="K3" s="2"/>
      <c r="L3" s="2"/>
      <c r="M3" s="2" t="s">
        <v>20</v>
      </c>
      <c r="N3" s="2" t="n">
        <v>180</v>
      </c>
      <c r="O3" s="2" t="s">
        <v>26</v>
      </c>
      <c r="P3" s="2" t="n">
        <v>2026</v>
      </c>
    </row>
    <row r="4" customFormat="false" ht="15" hidden="false" customHeight="false" outlineLevel="0" collapsed="false">
      <c r="A4" s="2" t="s">
        <v>27</v>
      </c>
      <c r="B4" s="2" t="s">
        <v>28</v>
      </c>
      <c r="C4" s="2" t="s">
        <v>25</v>
      </c>
      <c r="D4" s="2" t="n">
        <v>480</v>
      </c>
      <c r="E4" s="2" t="s">
        <v>29</v>
      </c>
      <c r="F4" s="3" t="n">
        <v>36.62</v>
      </c>
      <c r="G4" s="2" t="n">
        <v>3.2</v>
      </c>
      <c r="H4" s="2" t="s">
        <v>20</v>
      </c>
      <c r="I4" s="2" t="s">
        <v>30</v>
      </c>
      <c r="J4" s="2" t="s">
        <v>20</v>
      </c>
      <c r="K4" s="2" t="n">
        <v>22</v>
      </c>
      <c r="L4" s="2" t="n">
        <v>17</v>
      </c>
      <c r="M4" s="2" t="s">
        <v>20</v>
      </c>
      <c r="N4" s="2" t="n">
        <v>60</v>
      </c>
      <c r="O4" s="2" t="s">
        <v>26</v>
      </c>
      <c r="P4" s="2" t="n">
        <v>2025</v>
      </c>
    </row>
    <row r="5" customFormat="false" ht="15" hidden="false" customHeight="false" outlineLevel="0" collapsed="false">
      <c r="A5" s="2" t="s">
        <v>31</v>
      </c>
      <c r="B5" s="2" t="s">
        <v>28</v>
      </c>
      <c r="C5" s="2" t="s">
        <v>32</v>
      </c>
      <c r="D5" s="2" t="n">
        <v>480</v>
      </c>
      <c r="E5" s="2" t="s">
        <v>33</v>
      </c>
      <c r="F5" s="3" t="n">
        <v>59.72</v>
      </c>
      <c r="G5" s="2" t="n">
        <v>3.7</v>
      </c>
      <c r="H5" s="2" t="s">
        <v>20</v>
      </c>
      <c r="I5" s="2" t="s">
        <v>30</v>
      </c>
      <c r="J5" s="2" t="s">
        <v>20</v>
      </c>
      <c r="K5" s="2" t="n">
        <v>8</v>
      </c>
      <c r="L5" s="2" t="n">
        <v>3</v>
      </c>
      <c r="M5" s="2" t="s">
        <v>30</v>
      </c>
      <c r="N5" s="2" t="n">
        <v>60</v>
      </c>
      <c r="O5" s="2" t="s">
        <v>22</v>
      </c>
      <c r="P5" s="2" t="n">
        <v>2025</v>
      </c>
    </row>
    <row r="6" customFormat="false" ht="15" hidden="false" customHeight="false" outlineLevel="0" collapsed="false">
      <c r="A6" s="2" t="s">
        <v>34</v>
      </c>
      <c r="B6" s="2" t="s">
        <v>35</v>
      </c>
      <c r="C6" s="2" t="s">
        <v>18</v>
      </c>
      <c r="D6" s="2" t="n">
        <v>240</v>
      </c>
      <c r="E6" s="2" t="s">
        <v>36</v>
      </c>
      <c r="F6" s="3" t="n">
        <v>34.59</v>
      </c>
      <c r="G6" s="2" t="n">
        <v>2.3</v>
      </c>
      <c r="H6" s="2" t="s">
        <v>20</v>
      </c>
      <c r="I6" s="2" t="s">
        <v>30</v>
      </c>
      <c r="J6" s="2" t="s">
        <v>30</v>
      </c>
      <c r="K6" s="2" t="n">
        <v>12</v>
      </c>
      <c r="L6" s="2" t="n">
        <v>5</v>
      </c>
      <c r="M6" s="2" t="s">
        <v>30</v>
      </c>
      <c r="N6" s="2" t="n">
        <v>90</v>
      </c>
      <c r="O6" s="2" t="s">
        <v>37</v>
      </c>
      <c r="P6" s="2" t="n">
        <v>2025</v>
      </c>
    </row>
    <row r="7" customFormat="false" ht="15" hidden="false" customHeight="false" outlineLevel="0" collapsed="false">
      <c r="A7" s="2" t="s">
        <v>38</v>
      </c>
      <c r="B7" s="2" t="s">
        <v>39</v>
      </c>
      <c r="C7" s="2" t="s">
        <v>25</v>
      </c>
      <c r="D7" s="2" t="n">
        <v>240</v>
      </c>
      <c r="E7" s="2" t="s">
        <v>36</v>
      </c>
      <c r="F7" s="3" t="n">
        <v>31</v>
      </c>
      <c r="G7" s="2" t="n">
        <v>3.3</v>
      </c>
      <c r="H7" s="2" t="s">
        <v>20</v>
      </c>
      <c r="I7" s="2" t="s">
        <v>30</v>
      </c>
      <c r="J7" s="2" t="s">
        <v>30</v>
      </c>
      <c r="K7" s="2"/>
      <c r="L7" s="2"/>
      <c r="M7" s="2" t="s">
        <v>30</v>
      </c>
      <c r="N7" s="2" t="n">
        <v>120</v>
      </c>
      <c r="O7" s="2" t="s">
        <v>26</v>
      </c>
      <c r="P7" s="2" t="n">
        <v>2023</v>
      </c>
    </row>
    <row r="8" customFormat="false" ht="15" hidden="false" customHeight="false" outlineLevel="0" collapsed="false">
      <c r="A8" s="2" t="s">
        <v>40</v>
      </c>
      <c r="B8" s="2" t="s">
        <v>41</v>
      </c>
      <c r="C8" s="2" t="s">
        <v>25</v>
      </c>
      <c r="D8" s="2" t="n">
        <v>380</v>
      </c>
      <c r="E8" s="2" t="s">
        <v>33</v>
      </c>
      <c r="F8" s="3" t="n">
        <v>31</v>
      </c>
      <c r="G8" s="2" t="n">
        <v>3.6</v>
      </c>
      <c r="H8" s="2" t="s">
        <v>20</v>
      </c>
      <c r="I8" s="2" t="s">
        <v>20</v>
      </c>
      <c r="J8" s="2" t="s">
        <v>21</v>
      </c>
      <c r="K8" s="2"/>
      <c r="L8" s="2"/>
      <c r="M8" s="2" t="s">
        <v>20</v>
      </c>
      <c r="N8" s="2" t="n">
        <v>120</v>
      </c>
      <c r="O8" s="2" t="s">
        <v>26</v>
      </c>
      <c r="P8" s="2" t="n">
        <v>2024</v>
      </c>
    </row>
    <row r="9" customFormat="false" ht="15" hidden="false" customHeight="false" outlineLevel="0" collapsed="false">
      <c r="A9" s="2" t="s">
        <v>42</v>
      </c>
      <c r="B9" s="2" t="s">
        <v>43</v>
      </c>
      <c r="C9" s="2" t="s">
        <v>25</v>
      </c>
      <c r="D9" s="2" t="n">
        <v>320</v>
      </c>
      <c r="E9" s="2" t="s">
        <v>19</v>
      </c>
      <c r="F9" s="3" t="n">
        <v>39.13</v>
      </c>
      <c r="G9" s="2" t="n">
        <v>4.5</v>
      </c>
      <c r="H9" s="2" t="s">
        <v>30</v>
      </c>
      <c r="I9" s="2" t="s">
        <v>20</v>
      </c>
      <c r="J9" s="2" t="s">
        <v>21</v>
      </c>
      <c r="K9" s="2" t="n">
        <v>3</v>
      </c>
      <c r="L9" s="2" t="n">
        <v>1</v>
      </c>
      <c r="M9" s="2" t="s">
        <v>30</v>
      </c>
      <c r="N9" s="2" t="n">
        <v>120</v>
      </c>
      <c r="O9" s="2" t="s">
        <v>22</v>
      </c>
      <c r="P9" s="2" t="n">
        <v>2025</v>
      </c>
    </row>
    <row r="10" customFormat="false" ht="15" hidden="false" customHeight="false" outlineLevel="0" collapsed="false">
      <c r="A10" s="2" t="s">
        <v>44</v>
      </c>
      <c r="B10" s="2" t="s">
        <v>45</v>
      </c>
      <c r="C10" s="2" t="s">
        <v>25</v>
      </c>
      <c r="D10" s="2" t="n">
        <v>480</v>
      </c>
      <c r="E10" s="2" t="s">
        <v>29</v>
      </c>
      <c r="F10" s="3" t="n">
        <v>49.57</v>
      </c>
      <c r="G10" s="2" t="n">
        <v>3.7</v>
      </c>
      <c r="H10" s="2" t="s">
        <v>20</v>
      </c>
      <c r="I10" s="2" t="s">
        <v>30</v>
      </c>
      <c r="J10" s="2" t="s">
        <v>30</v>
      </c>
      <c r="K10" s="2" t="n">
        <v>22</v>
      </c>
      <c r="L10" s="2" t="n">
        <v>17</v>
      </c>
      <c r="M10" s="2" t="s">
        <v>20</v>
      </c>
      <c r="N10" s="2" t="n">
        <v>120</v>
      </c>
      <c r="O10" s="2" t="s">
        <v>37</v>
      </c>
      <c r="P10" s="2" t="n">
        <v>2023</v>
      </c>
    </row>
    <row r="11" customFormat="false" ht="15" hidden="false" customHeight="false" outlineLevel="0" collapsed="false">
      <c r="A11" s="2" t="s">
        <v>46</v>
      </c>
      <c r="B11" s="2" t="s">
        <v>39</v>
      </c>
      <c r="C11" s="2" t="s">
        <v>25</v>
      </c>
      <c r="D11" s="2" t="n">
        <v>280</v>
      </c>
      <c r="E11" s="2" t="s">
        <v>33</v>
      </c>
      <c r="F11" s="3" t="n">
        <v>31</v>
      </c>
      <c r="G11" s="2" t="n">
        <v>3.4</v>
      </c>
      <c r="H11" s="2" t="s">
        <v>20</v>
      </c>
      <c r="I11" s="2" t="s">
        <v>20</v>
      </c>
      <c r="J11" s="2" t="s">
        <v>21</v>
      </c>
      <c r="K11" s="2"/>
      <c r="L11" s="2"/>
      <c r="M11" s="2" t="s">
        <v>30</v>
      </c>
      <c r="N11" s="2" t="n">
        <v>180</v>
      </c>
      <c r="O11" s="2" t="s">
        <v>37</v>
      </c>
      <c r="P11" s="2" t="n">
        <v>2025</v>
      </c>
    </row>
    <row r="12" customFormat="false" ht="15" hidden="false" customHeight="false" outlineLevel="0" collapsed="false">
      <c r="A12" s="2" t="s">
        <v>47</v>
      </c>
      <c r="B12" s="2" t="s">
        <v>45</v>
      </c>
      <c r="C12" s="2" t="s">
        <v>25</v>
      </c>
      <c r="D12" s="2" t="n">
        <v>210</v>
      </c>
      <c r="E12" s="2" t="s">
        <v>19</v>
      </c>
      <c r="F12" s="3" t="n">
        <v>45.14</v>
      </c>
      <c r="G12" s="2" t="n">
        <v>4.4</v>
      </c>
      <c r="H12" s="2" t="s">
        <v>20</v>
      </c>
      <c r="I12" s="2" t="s">
        <v>30</v>
      </c>
      <c r="J12" s="2" t="s">
        <v>30</v>
      </c>
      <c r="K12" s="2" t="n">
        <v>6</v>
      </c>
      <c r="L12" s="2" t="n">
        <v>2</v>
      </c>
      <c r="M12" s="2" t="s">
        <v>30</v>
      </c>
      <c r="N12" s="2" t="n">
        <v>120</v>
      </c>
      <c r="O12" s="2" t="s">
        <v>22</v>
      </c>
      <c r="P12" s="2" t="n">
        <v>2024</v>
      </c>
    </row>
    <row r="13" customFormat="false" ht="15" hidden="false" customHeight="false" outlineLevel="0" collapsed="false">
      <c r="A13" s="2" t="s">
        <v>48</v>
      </c>
      <c r="B13" s="2" t="s">
        <v>49</v>
      </c>
      <c r="C13" s="2" t="s">
        <v>25</v>
      </c>
      <c r="D13" s="2" t="n">
        <v>190</v>
      </c>
      <c r="E13" s="2" t="s">
        <v>36</v>
      </c>
      <c r="F13" s="3" t="n">
        <v>57.99</v>
      </c>
      <c r="G13" s="2" t="n">
        <v>1.9</v>
      </c>
      <c r="H13" s="2" t="s">
        <v>20</v>
      </c>
      <c r="I13" s="2" t="s">
        <v>30</v>
      </c>
      <c r="J13" s="2" t="s">
        <v>30</v>
      </c>
      <c r="K13" s="2" t="n">
        <v>10</v>
      </c>
      <c r="L13" s="2" t="n">
        <v>9</v>
      </c>
      <c r="M13" s="2" t="s">
        <v>20</v>
      </c>
      <c r="N13" s="2" t="n">
        <v>120</v>
      </c>
      <c r="O13" s="2" t="s">
        <v>37</v>
      </c>
      <c r="P13" s="2" t="n">
        <v>2026</v>
      </c>
    </row>
    <row r="14" customFormat="false" ht="15" hidden="false" customHeight="false" outlineLevel="0" collapsed="false">
      <c r="A14" s="2" t="s">
        <v>50</v>
      </c>
      <c r="B14" s="2" t="s">
        <v>28</v>
      </c>
      <c r="C14" s="2" t="s">
        <v>25</v>
      </c>
      <c r="D14" s="2" t="n">
        <v>300</v>
      </c>
      <c r="E14" s="2" t="s">
        <v>29</v>
      </c>
      <c r="F14" s="3" t="n">
        <v>46.82</v>
      </c>
      <c r="G14" s="2" t="n">
        <v>3.9</v>
      </c>
      <c r="H14" s="2" t="s">
        <v>30</v>
      </c>
      <c r="I14" s="2" t="s">
        <v>30</v>
      </c>
      <c r="J14" s="2" t="s">
        <v>30</v>
      </c>
      <c r="K14" s="2" t="n">
        <v>18</v>
      </c>
      <c r="L14" s="2" t="n">
        <v>6</v>
      </c>
      <c r="M14" s="2" t="s">
        <v>30</v>
      </c>
      <c r="N14" s="2" t="n">
        <v>90</v>
      </c>
      <c r="O14" s="2" t="s">
        <v>22</v>
      </c>
      <c r="P14" s="2" t="n">
        <v>2026</v>
      </c>
    </row>
    <row r="15" customFormat="false" ht="15" hidden="false" customHeight="false" outlineLevel="0" collapsed="false">
      <c r="A15" s="2" t="s">
        <v>51</v>
      </c>
      <c r="B15" s="2" t="s">
        <v>52</v>
      </c>
      <c r="C15" s="2" t="s">
        <v>25</v>
      </c>
      <c r="D15" s="2" t="n">
        <v>240</v>
      </c>
      <c r="E15" s="2" t="s">
        <v>29</v>
      </c>
      <c r="F15" s="3" t="n">
        <v>46.41</v>
      </c>
      <c r="G15" s="2" t="n">
        <v>2.4</v>
      </c>
      <c r="H15" s="2" t="s">
        <v>20</v>
      </c>
      <c r="I15" s="2" t="s">
        <v>20</v>
      </c>
      <c r="J15" s="2" t="s">
        <v>21</v>
      </c>
      <c r="K15" s="2" t="n">
        <v>15</v>
      </c>
      <c r="L15" s="2" t="n">
        <v>4</v>
      </c>
      <c r="M15" s="2" t="s">
        <v>30</v>
      </c>
      <c r="N15" s="2" t="n">
        <v>120</v>
      </c>
      <c r="O15" s="2" t="s">
        <v>22</v>
      </c>
      <c r="P15" s="2" t="n">
        <v>2026</v>
      </c>
    </row>
    <row r="16" customFormat="false" ht="15" hidden="false" customHeight="false" outlineLevel="0" collapsed="false">
      <c r="A16" s="2" t="s">
        <v>53</v>
      </c>
      <c r="B16" s="2" t="s">
        <v>45</v>
      </c>
      <c r="C16" s="2" t="s">
        <v>25</v>
      </c>
      <c r="D16" s="2" t="n">
        <v>450</v>
      </c>
      <c r="E16" s="2" t="s">
        <v>29</v>
      </c>
      <c r="F16" s="3" t="n">
        <v>55.64</v>
      </c>
      <c r="G16" s="2" t="n">
        <v>2.8</v>
      </c>
      <c r="H16" s="2" t="s">
        <v>20</v>
      </c>
      <c r="I16" s="2" t="s">
        <v>30</v>
      </c>
      <c r="J16" s="2" t="s">
        <v>30</v>
      </c>
      <c r="K16" s="2" t="n">
        <v>18</v>
      </c>
      <c r="L16" s="2" t="n">
        <v>15</v>
      </c>
      <c r="M16" s="2" t="s">
        <v>20</v>
      </c>
      <c r="N16" s="2" t="n">
        <v>120</v>
      </c>
      <c r="O16" s="2" t="s">
        <v>37</v>
      </c>
      <c r="P16" s="2" t="n">
        <v>2024</v>
      </c>
    </row>
    <row r="17" customFormat="false" ht="15" hidden="false" customHeight="false" outlineLevel="0" collapsed="false">
      <c r="A17" s="2" t="s">
        <v>54</v>
      </c>
      <c r="B17" s="2" t="s">
        <v>49</v>
      </c>
      <c r="C17" s="2" t="s">
        <v>25</v>
      </c>
      <c r="D17" s="2" t="n">
        <v>450</v>
      </c>
      <c r="E17" s="2" t="s">
        <v>36</v>
      </c>
      <c r="F17" s="3" t="n">
        <v>40.2</v>
      </c>
      <c r="G17" s="2" t="n">
        <v>2.2</v>
      </c>
      <c r="H17" s="2" t="s">
        <v>20</v>
      </c>
      <c r="I17" s="2" t="s">
        <v>20</v>
      </c>
      <c r="J17" s="2" t="s">
        <v>21</v>
      </c>
      <c r="K17" s="2" t="n">
        <v>12</v>
      </c>
      <c r="L17" s="2" t="n">
        <v>3</v>
      </c>
      <c r="M17" s="2" t="s">
        <v>30</v>
      </c>
      <c r="N17" s="2" t="n">
        <v>120</v>
      </c>
      <c r="O17" s="2" t="s">
        <v>26</v>
      </c>
      <c r="P17" s="2" t="n">
        <v>2024</v>
      </c>
    </row>
    <row r="18" customFormat="false" ht="15" hidden="false" customHeight="false" outlineLevel="0" collapsed="false">
      <c r="A18" s="2" t="s">
        <v>55</v>
      </c>
      <c r="B18" s="2" t="s">
        <v>28</v>
      </c>
      <c r="C18" s="2" t="s">
        <v>25</v>
      </c>
      <c r="D18" s="2" t="n">
        <v>260</v>
      </c>
      <c r="E18" s="2" t="s">
        <v>33</v>
      </c>
      <c r="F18" s="3" t="n">
        <v>31</v>
      </c>
      <c r="G18" s="2" t="n">
        <v>3</v>
      </c>
      <c r="H18" s="2" t="s">
        <v>20</v>
      </c>
      <c r="I18" s="2" t="s">
        <v>20</v>
      </c>
      <c r="J18" s="2" t="s">
        <v>21</v>
      </c>
      <c r="K18" s="2" t="n">
        <v>6</v>
      </c>
      <c r="L18" s="2" t="n">
        <v>3</v>
      </c>
      <c r="M18" s="2" t="s">
        <v>30</v>
      </c>
      <c r="N18" s="2" t="n">
        <v>90</v>
      </c>
      <c r="O18" s="2" t="s">
        <v>26</v>
      </c>
      <c r="P18" s="2" t="n">
        <v>2024</v>
      </c>
    </row>
    <row r="19" customFormat="false" ht="15" hidden="false" customHeight="false" outlineLevel="0" collapsed="false">
      <c r="A19" s="2" t="s">
        <v>56</v>
      </c>
      <c r="B19" s="2" t="s">
        <v>49</v>
      </c>
      <c r="C19" s="2" t="s">
        <v>57</v>
      </c>
      <c r="D19" s="2" t="n">
        <v>300</v>
      </c>
      <c r="E19" s="2" t="s">
        <v>36</v>
      </c>
      <c r="F19" s="3" t="n">
        <v>45.77</v>
      </c>
      <c r="G19" s="2" t="n">
        <v>3</v>
      </c>
      <c r="H19" s="2" t="s">
        <v>30</v>
      </c>
      <c r="I19" s="2" t="s">
        <v>30</v>
      </c>
      <c r="J19" s="2" t="s">
        <v>30</v>
      </c>
      <c r="K19" s="2"/>
      <c r="L19" s="2"/>
      <c r="M19" s="2" t="s">
        <v>20</v>
      </c>
      <c r="N19" s="2" t="n">
        <v>90</v>
      </c>
      <c r="O19" s="2" t="s">
        <v>37</v>
      </c>
      <c r="P19" s="2" t="n">
        <v>2026</v>
      </c>
    </row>
    <row r="20" customFormat="false" ht="15" hidden="false" customHeight="false" outlineLevel="0" collapsed="false">
      <c r="A20" s="2" t="s">
        <v>58</v>
      </c>
      <c r="B20" s="2" t="s">
        <v>24</v>
      </c>
      <c r="C20" s="2" t="s">
        <v>25</v>
      </c>
      <c r="D20" s="2" t="n">
        <v>410</v>
      </c>
      <c r="E20" s="2" t="s">
        <v>33</v>
      </c>
      <c r="F20" s="3" t="n">
        <v>31</v>
      </c>
      <c r="G20" s="2" t="n">
        <v>3.1</v>
      </c>
      <c r="H20" s="2" t="s">
        <v>20</v>
      </c>
      <c r="I20" s="2" t="s">
        <v>30</v>
      </c>
      <c r="J20" s="2" t="s">
        <v>20</v>
      </c>
      <c r="K20" s="2" t="n">
        <v>0</v>
      </c>
      <c r="L20" s="2" t="n">
        <v>0</v>
      </c>
      <c r="M20" s="2" t="s">
        <v>20</v>
      </c>
      <c r="N20" s="2" t="n">
        <v>60</v>
      </c>
      <c r="O20" s="2" t="s">
        <v>22</v>
      </c>
      <c r="P20" s="2" t="n">
        <v>2024</v>
      </c>
    </row>
    <row r="21" customFormat="false" ht="15" hidden="false" customHeight="false" outlineLevel="0" collapsed="false">
      <c r="A21" s="2" t="s">
        <v>59</v>
      </c>
      <c r="B21" s="2" t="s">
        <v>24</v>
      </c>
      <c r="C21" s="2" t="s">
        <v>25</v>
      </c>
      <c r="D21" s="2" t="n">
        <v>450</v>
      </c>
      <c r="E21" s="2" t="s">
        <v>29</v>
      </c>
      <c r="F21" s="3" t="n">
        <v>41.42</v>
      </c>
      <c r="G21" s="2" t="n">
        <v>3.6</v>
      </c>
      <c r="H21" s="2" t="s">
        <v>30</v>
      </c>
      <c r="I21" s="2" t="s">
        <v>30</v>
      </c>
      <c r="J21" s="2" t="s">
        <v>30</v>
      </c>
      <c r="K21" s="2" t="n">
        <v>16</v>
      </c>
      <c r="L21" s="2" t="n">
        <v>4</v>
      </c>
      <c r="M21" s="2" t="s">
        <v>30</v>
      </c>
      <c r="N21" s="2" t="n">
        <v>90</v>
      </c>
      <c r="O21" s="2" t="s">
        <v>22</v>
      </c>
      <c r="P21" s="2" t="n">
        <v>2023</v>
      </c>
    </row>
    <row r="22" customFormat="false" ht="15" hidden="false" customHeight="false" outlineLevel="0" collapsed="false">
      <c r="A22" s="2" t="s">
        <v>60</v>
      </c>
      <c r="B22" s="2" t="s">
        <v>24</v>
      </c>
      <c r="C22" s="2" t="s">
        <v>25</v>
      </c>
      <c r="D22" s="2" t="n">
        <v>240</v>
      </c>
      <c r="E22" s="2" t="s">
        <v>29</v>
      </c>
      <c r="F22" s="3" t="n">
        <v>32.94</v>
      </c>
      <c r="G22" s="2" t="n">
        <v>3.7</v>
      </c>
      <c r="H22" s="2" t="s">
        <v>20</v>
      </c>
      <c r="I22" s="2" t="s">
        <v>30</v>
      </c>
      <c r="J22" s="2" t="s">
        <v>30</v>
      </c>
      <c r="K22" s="2" t="n">
        <v>20</v>
      </c>
      <c r="L22" s="2" t="n">
        <v>19</v>
      </c>
      <c r="M22" s="2" t="s">
        <v>20</v>
      </c>
      <c r="N22" s="2" t="n">
        <v>90</v>
      </c>
      <c r="O22" s="2" t="s">
        <v>26</v>
      </c>
      <c r="P22" s="2" t="n">
        <v>2026</v>
      </c>
    </row>
    <row r="23" customFormat="false" ht="15" hidden="false" customHeight="false" outlineLevel="0" collapsed="false">
      <c r="A23" s="2" t="s">
        <v>61</v>
      </c>
      <c r="B23" s="2" t="s">
        <v>41</v>
      </c>
      <c r="C23" s="2" t="s">
        <v>25</v>
      </c>
      <c r="D23" s="2" t="n">
        <v>480</v>
      </c>
      <c r="E23" s="2" t="s">
        <v>29</v>
      </c>
      <c r="F23" s="3" t="n">
        <v>37.85</v>
      </c>
      <c r="G23" s="2" t="n">
        <v>2.8</v>
      </c>
      <c r="H23" s="2" t="s">
        <v>30</v>
      </c>
      <c r="I23" s="2" t="s">
        <v>30</v>
      </c>
      <c r="J23" s="2" t="s">
        <v>20</v>
      </c>
      <c r="K23" s="2" t="n">
        <v>15</v>
      </c>
      <c r="L23" s="2" t="n">
        <v>12</v>
      </c>
      <c r="M23" s="2" t="s">
        <v>20</v>
      </c>
      <c r="N23" s="2" t="n">
        <v>90</v>
      </c>
      <c r="O23" s="2" t="s">
        <v>26</v>
      </c>
      <c r="P23" s="2" t="n">
        <v>2024</v>
      </c>
    </row>
    <row r="24" customFormat="false" ht="15" hidden="false" customHeight="false" outlineLevel="0" collapsed="false">
      <c r="A24" s="2" t="s">
        <v>62</v>
      </c>
      <c r="B24" s="2" t="s">
        <v>41</v>
      </c>
      <c r="C24" s="2" t="s">
        <v>25</v>
      </c>
      <c r="D24" s="2" t="n">
        <v>210</v>
      </c>
      <c r="E24" s="2" t="s">
        <v>29</v>
      </c>
      <c r="F24" s="3" t="n">
        <v>51.56</v>
      </c>
      <c r="G24" s="2" t="n">
        <v>3.9</v>
      </c>
      <c r="H24" s="2" t="s">
        <v>20</v>
      </c>
      <c r="I24" s="2" t="s">
        <v>30</v>
      </c>
      <c r="J24" s="2" t="s">
        <v>30</v>
      </c>
      <c r="K24" s="2" t="n">
        <v>15</v>
      </c>
      <c r="L24" s="2" t="n">
        <v>4</v>
      </c>
      <c r="M24" s="2" t="s">
        <v>30</v>
      </c>
      <c r="N24" s="2" t="n">
        <v>120</v>
      </c>
      <c r="O24" s="2" t="s">
        <v>22</v>
      </c>
      <c r="P24" s="2" t="n">
        <v>2026</v>
      </c>
    </row>
    <row r="25" customFormat="false" ht="15" hidden="false" customHeight="false" outlineLevel="0" collapsed="false">
      <c r="A25" s="2" t="s">
        <v>63</v>
      </c>
      <c r="B25" s="2" t="s">
        <v>17</v>
      </c>
      <c r="C25" s="2" t="s">
        <v>25</v>
      </c>
      <c r="D25" s="2" t="n">
        <v>160</v>
      </c>
      <c r="E25" s="2" t="s">
        <v>33</v>
      </c>
      <c r="F25" s="3" t="n">
        <v>33.62</v>
      </c>
      <c r="G25" s="2" t="n">
        <v>3.7</v>
      </c>
      <c r="H25" s="2" t="s">
        <v>20</v>
      </c>
      <c r="I25" s="2" t="s">
        <v>20</v>
      </c>
      <c r="J25" s="2" t="s">
        <v>21</v>
      </c>
      <c r="K25" s="2" t="n">
        <v>5</v>
      </c>
      <c r="L25" s="2" t="n">
        <v>1</v>
      </c>
      <c r="M25" s="2" t="s">
        <v>30</v>
      </c>
      <c r="N25" s="2" t="n">
        <v>60</v>
      </c>
      <c r="O25" s="2" t="s">
        <v>26</v>
      </c>
      <c r="P25" s="2" t="n">
        <v>2026</v>
      </c>
    </row>
    <row r="26" customFormat="false" ht="15" hidden="false" customHeight="false" outlineLevel="0" collapsed="false">
      <c r="A26" s="2" t="s">
        <v>64</v>
      </c>
      <c r="B26" s="2" t="s">
        <v>17</v>
      </c>
      <c r="C26" s="2" t="s">
        <v>25</v>
      </c>
      <c r="D26" s="2" t="n">
        <v>240</v>
      </c>
      <c r="E26" s="2" t="s">
        <v>33</v>
      </c>
      <c r="F26" s="3" t="n">
        <v>63.2</v>
      </c>
      <c r="G26" s="2" t="n">
        <v>3.6</v>
      </c>
      <c r="H26" s="2" t="s">
        <v>20</v>
      </c>
      <c r="I26" s="2" t="s">
        <v>30</v>
      </c>
      <c r="J26" s="2" t="s">
        <v>30</v>
      </c>
      <c r="K26" s="2" t="n">
        <v>6</v>
      </c>
      <c r="L26" s="2" t="n">
        <v>2</v>
      </c>
      <c r="M26" s="2" t="s">
        <v>30</v>
      </c>
      <c r="N26" s="2" t="n">
        <v>60</v>
      </c>
      <c r="O26" s="2" t="s">
        <v>26</v>
      </c>
      <c r="P26" s="2" t="n">
        <v>2023</v>
      </c>
    </row>
    <row r="27" customFormat="false" ht="15" hidden="false" customHeight="false" outlineLevel="0" collapsed="false">
      <c r="A27" s="2" t="s">
        <v>65</v>
      </c>
      <c r="B27" s="2" t="s">
        <v>39</v>
      </c>
      <c r="C27" s="2" t="s">
        <v>25</v>
      </c>
      <c r="D27" s="2" t="n">
        <v>190</v>
      </c>
      <c r="E27" s="2" t="s">
        <v>29</v>
      </c>
      <c r="F27" s="3" t="n">
        <v>40.77</v>
      </c>
      <c r="G27" s="2" t="n">
        <v>3.5</v>
      </c>
      <c r="H27" s="2" t="s">
        <v>20</v>
      </c>
      <c r="I27" s="2" t="s">
        <v>30</v>
      </c>
      <c r="J27" s="2" t="s">
        <v>30</v>
      </c>
      <c r="K27" s="2" t="n">
        <v>18</v>
      </c>
      <c r="L27" s="2" t="n">
        <v>15</v>
      </c>
      <c r="M27" s="2" t="s">
        <v>20</v>
      </c>
      <c r="N27" s="2" t="n">
        <v>90</v>
      </c>
      <c r="O27" s="2" t="s">
        <v>26</v>
      </c>
      <c r="P27" s="2" t="n">
        <v>2025</v>
      </c>
    </row>
    <row r="28" customFormat="false" ht="15" hidden="false" customHeight="false" outlineLevel="0" collapsed="false">
      <c r="A28" s="2" t="s">
        <v>66</v>
      </c>
      <c r="B28" s="2" t="s">
        <v>43</v>
      </c>
      <c r="C28" s="2" t="s">
        <v>18</v>
      </c>
      <c r="D28" s="2" t="n">
        <v>320</v>
      </c>
      <c r="E28" s="2" t="s">
        <v>29</v>
      </c>
      <c r="F28" s="3" t="n">
        <v>42.21</v>
      </c>
      <c r="G28" s="2" t="n">
        <v>3.3</v>
      </c>
      <c r="H28" s="2" t="s">
        <v>20</v>
      </c>
      <c r="I28" s="2" t="s">
        <v>30</v>
      </c>
      <c r="J28" s="2" t="s">
        <v>30</v>
      </c>
      <c r="K28" s="2" t="n">
        <v>20</v>
      </c>
      <c r="L28" s="2" t="n">
        <v>8</v>
      </c>
      <c r="M28" s="2" t="s">
        <v>30</v>
      </c>
      <c r="N28" s="2" t="n">
        <v>90</v>
      </c>
      <c r="O28" s="2" t="s">
        <v>26</v>
      </c>
      <c r="P28" s="2" t="n">
        <v>2023</v>
      </c>
    </row>
    <row r="29" customFormat="false" ht="15" hidden="false" customHeight="false" outlineLevel="0" collapsed="false">
      <c r="A29" s="2" t="s">
        <v>67</v>
      </c>
      <c r="B29" s="2" t="s">
        <v>35</v>
      </c>
      <c r="C29" s="2" t="s">
        <v>25</v>
      </c>
      <c r="D29" s="2" t="n">
        <v>160</v>
      </c>
      <c r="E29" s="2" t="s">
        <v>19</v>
      </c>
      <c r="F29" s="3" t="n">
        <v>55.56</v>
      </c>
      <c r="G29" s="2" t="n">
        <v>3.4</v>
      </c>
      <c r="H29" s="2" t="s">
        <v>20</v>
      </c>
      <c r="I29" s="2" t="s">
        <v>20</v>
      </c>
      <c r="J29" s="2" t="s">
        <v>21</v>
      </c>
      <c r="K29" s="2" t="n">
        <v>3</v>
      </c>
      <c r="L29" s="2" t="n">
        <v>1</v>
      </c>
      <c r="M29" s="2" t="s">
        <v>30</v>
      </c>
      <c r="N29" s="2" t="n">
        <v>90</v>
      </c>
      <c r="O29" s="2" t="s">
        <v>22</v>
      </c>
      <c r="P29" s="2" t="n">
        <v>2023</v>
      </c>
    </row>
    <row r="30" customFormat="false" ht="15" hidden="false" customHeight="false" outlineLevel="0" collapsed="false">
      <c r="A30" s="2" t="s">
        <v>68</v>
      </c>
      <c r="B30" s="2" t="s">
        <v>49</v>
      </c>
      <c r="C30" s="2" t="s">
        <v>32</v>
      </c>
      <c r="D30" s="2" t="n">
        <v>380</v>
      </c>
      <c r="E30" s="2" t="s">
        <v>29</v>
      </c>
      <c r="F30" s="3" t="n">
        <v>48.7</v>
      </c>
      <c r="G30" s="2" t="n">
        <v>4.3</v>
      </c>
      <c r="H30" s="2" t="s">
        <v>20</v>
      </c>
      <c r="I30" s="2" t="s">
        <v>20</v>
      </c>
      <c r="J30" s="2" t="s">
        <v>21</v>
      </c>
      <c r="K30" s="2" t="n">
        <v>16</v>
      </c>
      <c r="L30" s="2" t="n">
        <v>11</v>
      </c>
      <c r="M30" s="2" t="s">
        <v>20</v>
      </c>
      <c r="N30" s="2" t="n">
        <v>90</v>
      </c>
      <c r="O30" s="2" t="s">
        <v>22</v>
      </c>
      <c r="P30" s="2" t="n">
        <v>2024</v>
      </c>
    </row>
    <row r="31" customFormat="false" ht="15" hidden="false" customHeight="false" outlineLevel="0" collapsed="false">
      <c r="A31" s="2" t="s">
        <v>69</v>
      </c>
      <c r="B31" s="2" t="s">
        <v>45</v>
      </c>
      <c r="C31" s="2" t="s">
        <v>25</v>
      </c>
      <c r="D31" s="2" t="n">
        <v>260</v>
      </c>
      <c r="E31" s="2" t="s">
        <v>19</v>
      </c>
      <c r="F31" s="3" t="n">
        <v>34.98</v>
      </c>
      <c r="G31" s="2" t="n">
        <v>3.4</v>
      </c>
      <c r="H31" s="2" t="s">
        <v>20</v>
      </c>
      <c r="I31" s="2" t="s">
        <v>30</v>
      </c>
      <c r="J31" s="2" t="s">
        <v>30</v>
      </c>
      <c r="K31" s="2" t="n">
        <v>3</v>
      </c>
      <c r="L31" s="2" t="n">
        <v>1</v>
      </c>
      <c r="M31" s="2" t="s">
        <v>30</v>
      </c>
      <c r="N31" s="2" t="n">
        <v>60</v>
      </c>
      <c r="O31" s="2" t="s">
        <v>22</v>
      </c>
      <c r="P31" s="2" t="n">
        <v>2025</v>
      </c>
    </row>
    <row r="32" customFormat="false" ht="15" hidden="false" customHeight="false" outlineLevel="0" collapsed="false">
      <c r="A32" s="2" t="s">
        <v>70</v>
      </c>
      <c r="B32" s="2" t="s">
        <v>39</v>
      </c>
      <c r="C32" s="2" t="s">
        <v>25</v>
      </c>
      <c r="D32" s="2" t="n">
        <v>160</v>
      </c>
      <c r="E32" s="2" t="s">
        <v>33</v>
      </c>
      <c r="F32" s="3" t="n">
        <v>31</v>
      </c>
      <c r="G32" s="2" t="n">
        <v>3.7</v>
      </c>
      <c r="H32" s="2" t="s">
        <v>20</v>
      </c>
      <c r="I32" s="2" t="s">
        <v>30</v>
      </c>
      <c r="J32" s="2" t="s">
        <v>30</v>
      </c>
      <c r="K32" s="2" t="n">
        <v>3</v>
      </c>
      <c r="L32" s="2" t="n">
        <v>3</v>
      </c>
      <c r="M32" s="2" t="s">
        <v>20</v>
      </c>
      <c r="N32" s="2" t="n">
        <v>120</v>
      </c>
      <c r="O32" s="2" t="s">
        <v>26</v>
      </c>
      <c r="P32" s="2" t="n">
        <v>2023</v>
      </c>
    </row>
    <row r="33" customFormat="false" ht="15" hidden="false" customHeight="false" outlineLevel="0" collapsed="false">
      <c r="A33" s="2" t="s">
        <v>71</v>
      </c>
      <c r="B33" s="2" t="s">
        <v>17</v>
      </c>
      <c r="C33" s="2" t="s">
        <v>25</v>
      </c>
      <c r="D33" s="2" t="n">
        <v>380</v>
      </c>
      <c r="E33" s="2" t="s">
        <v>29</v>
      </c>
      <c r="F33" s="3" t="n">
        <v>44.4</v>
      </c>
      <c r="G33" s="2" t="n">
        <v>3.7</v>
      </c>
      <c r="H33" s="2" t="s">
        <v>20</v>
      </c>
      <c r="I33" s="2" t="s">
        <v>30</v>
      </c>
      <c r="J33" s="2" t="s">
        <v>30</v>
      </c>
      <c r="K33" s="2" t="n">
        <v>8</v>
      </c>
      <c r="L33" s="2" t="n">
        <v>6</v>
      </c>
      <c r="M33" s="2" t="s">
        <v>20</v>
      </c>
      <c r="N33" s="2" t="n">
        <v>180</v>
      </c>
      <c r="O33" s="2" t="s">
        <v>26</v>
      </c>
      <c r="P33" s="2" t="n">
        <v>2026</v>
      </c>
    </row>
    <row r="34" customFormat="false" ht="15" hidden="false" customHeight="false" outlineLevel="0" collapsed="false">
      <c r="A34" s="2" t="s">
        <v>72</v>
      </c>
      <c r="B34" s="2" t="s">
        <v>49</v>
      </c>
      <c r="C34" s="2" t="s">
        <v>25</v>
      </c>
      <c r="D34" s="2" t="n">
        <v>225</v>
      </c>
      <c r="E34" s="2" t="s">
        <v>36</v>
      </c>
      <c r="F34" s="3" t="n">
        <v>37.52</v>
      </c>
      <c r="G34" s="2" t="n">
        <v>3.6</v>
      </c>
      <c r="H34" s="2" t="s">
        <v>20</v>
      </c>
      <c r="I34" s="2" t="s">
        <v>30</v>
      </c>
      <c r="J34" s="2" t="s">
        <v>30</v>
      </c>
      <c r="K34" s="2" t="n">
        <v>12</v>
      </c>
      <c r="L34" s="2" t="n">
        <v>3</v>
      </c>
      <c r="M34" s="2" t="s">
        <v>30</v>
      </c>
      <c r="N34" s="2" t="n">
        <v>180</v>
      </c>
      <c r="O34" s="2" t="s">
        <v>22</v>
      </c>
      <c r="P34" s="2" t="n">
        <v>2025</v>
      </c>
    </row>
    <row r="35" customFormat="false" ht="15" hidden="false" customHeight="false" outlineLevel="0" collapsed="false">
      <c r="A35" s="2" t="s">
        <v>73</v>
      </c>
      <c r="B35" s="2" t="s">
        <v>28</v>
      </c>
      <c r="C35" s="2" t="s">
        <v>25</v>
      </c>
      <c r="D35" s="2" t="n">
        <v>410</v>
      </c>
      <c r="E35" s="2" t="s">
        <v>29</v>
      </c>
      <c r="F35" s="3" t="n">
        <v>46.93</v>
      </c>
      <c r="G35" s="2" t="n">
        <v>3.1</v>
      </c>
      <c r="H35" s="2" t="s">
        <v>20</v>
      </c>
      <c r="I35" s="2" t="s">
        <v>30</v>
      </c>
      <c r="J35" s="2" t="s">
        <v>20</v>
      </c>
      <c r="K35" s="2" t="n">
        <v>12</v>
      </c>
      <c r="L35" s="2" t="n">
        <v>3</v>
      </c>
      <c r="M35" s="2" t="s">
        <v>30</v>
      </c>
      <c r="N35" s="2" t="n">
        <v>120</v>
      </c>
      <c r="O35" s="2" t="s">
        <v>26</v>
      </c>
      <c r="P35" s="2" t="n">
        <v>2023</v>
      </c>
    </row>
    <row r="36" customFormat="false" ht="15" hidden="false" customHeight="false" outlineLevel="0" collapsed="false">
      <c r="A36" s="2" t="s">
        <v>74</v>
      </c>
      <c r="B36" s="2" t="s">
        <v>41</v>
      </c>
      <c r="C36" s="2" t="s">
        <v>25</v>
      </c>
      <c r="D36" s="2" t="n">
        <v>190</v>
      </c>
      <c r="E36" s="2" t="s">
        <v>29</v>
      </c>
      <c r="F36" s="3" t="n">
        <v>43.53</v>
      </c>
      <c r="G36" s="2" t="n">
        <v>4.5</v>
      </c>
      <c r="H36" s="2" t="s">
        <v>30</v>
      </c>
      <c r="I36" s="2" t="s">
        <v>30</v>
      </c>
      <c r="J36" s="2" t="s">
        <v>20</v>
      </c>
      <c r="K36" s="2" t="n">
        <v>14</v>
      </c>
      <c r="L36" s="2" t="n">
        <v>4</v>
      </c>
      <c r="M36" s="2" t="s">
        <v>30</v>
      </c>
      <c r="N36" s="2" t="n">
        <v>120</v>
      </c>
      <c r="O36" s="2" t="s">
        <v>22</v>
      </c>
      <c r="P36" s="2" t="n">
        <v>2026</v>
      </c>
    </row>
    <row r="37" customFormat="false" ht="15" hidden="false" customHeight="false" outlineLevel="0" collapsed="false">
      <c r="A37" s="2" t="s">
        <v>75</v>
      </c>
      <c r="B37" s="2" t="s">
        <v>49</v>
      </c>
      <c r="C37" s="2" t="s">
        <v>25</v>
      </c>
      <c r="D37" s="2" t="n">
        <v>450</v>
      </c>
      <c r="E37" s="2" t="s">
        <v>33</v>
      </c>
      <c r="F37" s="3" t="n">
        <v>31</v>
      </c>
      <c r="G37" s="2" t="n">
        <v>3.6</v>
      </c>
      <c r="H37" s="2" t="s">
        <v>20</v>
      </c>
      <c r="I37" s="2" t="s">
        <v>20</v>
      </c>
      <c r="J37" s="2" t="s">
        <v>21</v>
      </c>
      <c r="K37" s="2" t="n">
        <v>6</v>
      </c>
      <c r="L37" s="2" t="n">
        <v>5</v>
      </c>
      <c r="M37" s="2" t="s">
        <v>20</v>
      </c>
      <c r="N37" s="2" t="n">
        <v>60</v>
      </c>
      <c r="O37" s="2" t="s">
        <v>22</v>
      </c>
      <c r="P37" s="2" t="n">
        <v>2026</v>
      </c>
    </row>
    <row r="38" customFormat="false" ht="15" hidden="false" customHeight="false" outlineLevel="0" collapsed="false">
      <c r="A38" s="2" t="s">
        <v>76</v>
      </c>
      <c r="B38" s="2" t="s">
        <v>49</v>
      </c>
      <c r="C38" s="2" t="s">
        <v>25</v>
      </c>
      <c r="D38" s="2" t="n">
        <v>410</v>
      </c>
      <c r="E38" s="2" t="s">
        <v>29</v>
      </c>
      <c r="F38" s="3" t="n">
        <v>47.76</v>
      </c>
      <c r="G38" s="2" t="n">
        <v>3.1</v>
      </c>
      <c r="H38" s="2" t="s">
        <v>20</v>
      </c>
      <c r="I38" s="2" t="s">
        <v>30</v>
      </c>
      <c r="J38" s="2" t="s">
        <v>30</v>
      </c>
      <c r="K38" s="2" t="n">
        <v>18</v>
      </c>
      <c r="L38" s="2" t="n">
        <v>14</v>
      </c>
      <c r="M38" s="2" t="s">
        <v>20</v>
      </c>
      <c r="N38" s="2" t="n">
        <v>180</v>
      </c>
      <c r="O38" s="2" t="s">
        <v>26</v>
      </c>
      <c r="P38" s="2" t="n">
        <v>2025</v>
      </c>
    </row>
    <row r="39" customFormat="false" ht="15" hidden="false" customHeight="false" outlineLevel="0" collapsed="false">
      <c r="A39" s="2" t="s">
        <v>77</v>
      </c>
      <c r="B39" s="2" t="s">
        <v>39</v>
      </c>
      <c r="C39" s="2" t="s">
        <v>25</v>
      </c>
      <c r="D39" s="2" t="n">
        <v>160</v>
      </c>
      <c r="E39" s="2" t="s">
        <v>19</v>
      </c>
      <c r="F39" s="3" t="n">
        <v>46.38</v>
      </c>
      <c r="G39" s="2" t="n">
        <v>3.8</v>
      </c>
      <c r="H39" s="2" t="s">
        <v>20</v>
      </c>
      <c r="I39" s="2" t="s">
        <v>30</v>
      </c>
      <c r="J39" s="2" t="s">
        <v>30</v>
      </c>
      <c r="K39" s="2"/>
      <c r="L39" s="2"/>
      <c r="M39" s="2" t="s">
        <v>20</v>
      </c>
      <c r="N39" s="2" t="n">
        <v>120</v>
      </c>
      <c r="O39" s="2" t="s">
        <v>22</v>
      </c>
      <c r="P39" s="2" t="n">
        <v>2024</v>
      </c>
    </row>
    <row r="40" customFormat="false" ht="15" hidden="false" customHeight="false" outlineLevel="0" collapsed="false">
      <c r="A40" s="2" t="s">
        <v>78</v>
      </c>
      <c r="B40" s="2" t="s">
        <v>49</v>
      </c>
      <c r="C40" s="2" t="s">
        <v>18</v>
      </c>
      <c r="D40" s="2" t="n">
        <v>175</v>
      </c>
      <c r="E40" s="2" t="s">
        <v>19</v>
      </c>
      <c r="F40" s="3" t="n">
        <v>53.32</v>
      </c>
      <c r="G40" s="2" t="n">
        <v>3.6</v>
      </c>
      <c r="H40" s="2" t="s">
        <v>30</v>
      </c>
      <c r="I40" s="2" t="s">
        <v>20</v>
      </c>
      <c r="J40" s="2" t="s">
        <v>21</v>
      </c>
      <c r="K40" s="2"/>
      <c r="L40" s="2"/>
      <c r="M40" s="2" t="s">
        <v>30</v>
      </c>
      <c r="N40" s="2" t="n">
        <v>90</v>
      </c>
      <c r="O40" s="2" t="s">
        <v>26</v>
      </c>
      <c r="P40" s="2" t="n">
        <v>2025</v>
      </c>
    </row>
    <row r="41" customFormat="false" ht="15" hidden="false" customHeight="false" outlineLevel="0" collapsed="false">
      <c r="A41" s="2" t="s">
        <v>79</v>
      </c>
      <c r="B41" s="2" t="s">
        <v>17</v>
      </c>
      <c r="C41" s="2" t="s">
        <v>57</v>
      </c>
      <c r="D41" s="2" t="n">
        <v>225</v>
      </c>
      <c r="E41" s="2" t="s">
        <v>19</v>
      </c>
      <c r="F41" s="3" t="n">
        <v>53.01</v>
      </c>
      <c r="G41" s="2" t="n">
        <v>4.6</v>
      </c>
      <c r="H41" s="2" t="s">
        <v>20</v>
      </c>
      <c r="I41" s="2" t="s">
        <v>30</v>
      </c>
      <c r="J41" s="2" t="s">
        <v>30</v>
      </c>
      <c r="K41" s="2" t="n">
        <v>3</v>
      </c>
      <c r="L41" s="2" t="n">
        <v>3</v>
      </c>
      <c r="M41" s="2" t="s">
        <v>20</v>
      </c>
      <c r="N41" s="2" t="n">
        <v>90</v>
      </c>
      <c r="O41" s="2" t="s">
        <v>37</v>
      </c>
      <c r="P41" s="2" t="n">
        <v>2024</v>
      </c>
    </row>
    <row r="42" customFormat="false" ht="15" hidden="false" customHeight="false" outlineLevel="0" collapsed="false">
      <c r="A42" s="2" t="s">
        <v>80</v>
      </c>
      <c r="B42" s="2" t="s">
        <v>24</v>
      </c>
      <c r="C42" s="2" t="s">
        <v>18</v>
      </c>
      <c r="D42" s="2" t="n">
        <v>210</v>
      </c>
      <c r="E42" s="2" t="s">
        <v>29</v>
      </c>
      <c r="F42" s="3" t="n">
        <v>47.84</v>
      </c>
      <c r="G42" s="2" t="n">
        <v>3.5</v>
      </c>
      <c r="H42" s="2" t="s">
        <v>20</v>
      </c>
      <c r="I42" s="2" t="s">
        <v>20</v>
      </c>
      <c r="J42" s="2" t="s">
        <v>21</v>
      </c>
      <c r="K42" s="2" t="n">
        <v>14</v>
      </c>
      <c r="L42" s="2" t="n">
        <v>9</v>
      </c>
      <c r="M42" s="2" t="s">
        <v>20</v>
      </c>
      <c r="N42" s="2" t="n">
        <v>180</v>
      </c>
      <c r="O42" s="2" t="s">
        <v>22</v>
      </c>
      <c r="P42" s="2" t="n">
        <v>2023</v>
      </c>
    </row>
    <row r="43" customFormat="false" ht="15" hidden="false" customHeight="false" outlineLevel="0" collapsed="false">
      <c r="A43" s="2" t="s">
        <v>81</v>
      </c>
      <c r="B43" s="2" t="s">
        <v>39</v>
      </c>
      <c r="C43" s="2" t="s">
        <v>25</v>
      </c>
      <c r="D43" s="2" t="n">
        <v>480</v>
      </c>
      <c r="E43" s="2" t="s">
        <v>19</v>
      </c>
      <c r="F43" s="3" t="n">
        <v>41.31</v>
      </c>
      <c r="G43" s="2" t="n">
        <v>4.5</v>
      </c>
      <c r="H43" s="2" t="s">
        <v>20</v>
      </c>
      <c r="I43" s="2" t="s">
        <v>30</v>
      </c>
      <c r="J43" s="2" t="s">
        <v>30</v>
      </c>
      <c r="K43" s="2"/>
      <c r="L43" s="2"/>
      <c r="M43" s="2" t="s">
        <v>20</v>
      </c>
      <c r="N43" s="2" t="n">
        <v>60</v>
      </c>
      <c r="O43" s="2" t="s">
        <v>26</v>
      </c>
      <c r="P43" s="2" t="n">
        <v>2024</v>
      </c>
    </row>
    <row r="44" customFormat="false" ht="15" hidden="false" customHeight="false" outlineLevel="0" collapsed="false">
      <c r="A44" s="2" t="s">
        <v>82</v>
      </c>
      <c r="B44" s="2" t="s">
        <v>45</v>
      </c>
      <c r="C44" s="2" t="s">
        <v>25</v>
      </c>
      <c r="D44" s="2" t="n">
        <v>240</v>
      </c>
      <c r="E44" s="2" t="s">
        <v>29</v>
      </c>
      <c r="F44" s="3" t="n">
        <v>52.46</v>
      </c>
      <c r="G44" s="2" t="n">
        <v>3.6</v>
      </c>
      <c r="H44" s="2" t="s">
        <v>30</v>
      </c>
      <c r="I44" s="2" t="s">
        <v>20</v>
      </c>
      <c r="J44" s="2" t="s">
        <v>21</v>
      </c>
      <c r="K44" s="2" t="n">
        <v>20</v>
      </c>
      <c r="L44" s="2" t="n">
        <v>5</v>
      </c>
      <c r="M44" s="2" t="s">
        <v>30</v>
      </c>
      <c r="N44" s="2" t="n">
        <v>120</v>
      </c>
      <c r="O44" s="2" t="s">
        <v>37</v>
      </c>
      <c r="P44" s="2" t="n">
        <v>2025</v>
      </c>
    </row>
    <row r="45" customFormat="false" ht="15" hidden="false" customHeight="false" outlineLevel="0" collapsed="false">
      <c r="A45" s="2" t="s">
        <v>83</v>
      </c>
      <c r="B45" s="2" t="s">
        <v>41</v>
      </c>
      <c r="C45" s="2" t="s">
        <v>25</v>
      </c>
      <c r="D45" s="2" t="n">
        <v>300</v>
      </c>
      <c r="E45" s="2" t="s">
        <v>33</v>
      </c>
      <c r="F45" s="3" t="n">
        <v>66</v>
      </c>
      <c r="G45" s="2" t="n">
        <v>3</v>
      </c>
      <c r="H45" s="2" t="s">
        <v>20</v>
      </c>
      <c r="I45" s="2" t="s">
        <v>30</v>
      </c>
      <c r="J45" s="2" t="s">
        <v>20</v>
      </c>
      <c r="K45" s="2" t="n">
        <v>3</v>
      </c>
      <c r="L45" s="2" t="n">
        <v>2</v>
      </c>
      <c r="M45" s="2" t="s">
        <v>20</v>
      </c>
      <c r="N45" s="2" t="n">
        <v>90</v>
      </c>
      <c r="O45" s="2" t="s">
        <v>22</v>
      </c>
      <c r="P45" s="2" t="n">
        <v>2025</v>
      </c>
    </row>
    <row r="46" customFormat="false" ht="15" hidden="false" customHeight="false" outlineLevel="0" collapsed="false">
      <c r="A46" s="2" t="s">
        <v>84</v>
      </c>
      <c r="B46" s="2" t="s">
        <v>45</v>
      </c>
      <c r="C46" s="2" t="s">
        <v>25</v>
      </c>
      <c r="D46" s="2" t="n">
        <v>380</v>
      </c>
      <c r="E46" s="2" t="s">
        <v>33</v>
      </c>
      <c r="F46" s="3" t="n">
        <v>61.65</v>
      </c>
      <c r="G46" s="2" t="n">
        <v>3.9</v>
      </c>
      <c r="H46" s="2" t="s">
        <v>20</v>
      </c>
      <c r="I46" s="2" t="s">
        <v>20</v>
      </c>
      <c r="J46" s="2" t="s">
        <v>21</v>
      </c>
      <c r="K46" s="2" t="n">
        <v>5</v>
      </c>
      <c r="L46" s="2" t="n">
        <v>1</v>
      </c>
      <c r="M46" s="2" t="s">
        <v>30</v>
      </c>
      <c r="N46" s="2" t="n">
        <v>60</v>
      </c>
      <c r="O46" s="2" t="s">
        <v>37</v>
      </c>
      <c r="P46" s="2" t="n">
        <v>2026</v>
      </c>
    </row>
    <row r="47" customFormat="false" ht="15" hidden="false" customHeight="false" outlineLevel="0" collapsed="false">
      <c r="A47" s="2" t="s">
        <v>85</v>
      </c>
      <c r="B47" s="2" t="s">
        <v>24</v>
      </c>
      <c r="C47" s="2" t="s">
        <v>32</v>
      </c>
      <c r="D47" s="2" t="n">
        <v>350</v>
      </c>
      <c r="E47" s="2" t="s">
        <v>33</v>
      </c>
      <c r="F47" s="3" t="n">
        <v>31</v>
      </c>
      <c r="G47" s="2" t="n">
        <v>3.6</v>
      </c>
      <c r="H47" s="2" t="s">
        <v>20</v>
      </c>
      <c r="I47" s="2" t="s">
        <v>30</v>
      </c>
      <c r="J47" s="2" t="s">
        <v>30</v>
      </c>
      <c r="K47" s="2"/>
      <c r="L47" s="2"/>
      <c r="M47" s="2" t="s">
        <v>30</v>
      </c>
      <c r="N47" s="2" t="n">
        <v>90</v>
      </c>
      <c r="O47" s="2" t="s">
        <v>26</v>
      </c>
      <c r="P47" s="2" t="n">
        <v>2025</v>
      </c>
    </row>
    <row r="48" customFormat="false" ht="15" hidden="false" customHeight="false" outlineLevel="0" collapsed="false">
      <c r="A48" s="2" t="s">
        <v>86</v>
      </c>
      <c r="B48" s="2" t="s">
        <v>41</v>
      </c>
      <c r="C48" s="2" t="s">
        <v>25</v>
      </c>
      <c r="D48" s="2" t="n">
        <v>260</v>
      </c>
      <c r="E48" s="2" t="s">
        <v>33</v>
      </c>
      <c r="F48" s="3" t="n">
        <v>31</v>
      </c>
      <c r="G48" s="2" t="n">
        <v>3</v>
      </c>
      <c r="H48" s="2" t="s">
        <v>20</v>
      </c>
      <c r="I48" s="2" t="s">
        <v>20</v>
      </c>
      <c r="J48" s="2" t="s">
        <v>21</v>
      </c>
      <c r="K48" s="2" t="n">
        <v>0</v>
      </c>
      <c r="L48" s="2" t="n">
        <v>0</v>
      </c>
      <c r="M48" s="2" t="s">
        <v>20</v>
      </c>
      <c r="N48" s="2" t="n">
        <v>90</v>
      </c>
      <c r="O48" s="2" t="s">
        <v>26</v>
      </c>
      <c r="P48" s="2" t="n">
        <v>2023</v>
      </c>
    </row>
    <row r="49" customFormat="false" ht="15" hidden="false" customHeight="false" outlineLevel="0" collapsed="false">
      <c r="A49" s="2" t="s">
        <v>87</v>
      </c>
      <c r="B49" s="2" t="s">
        <v>52</v>
      </c>
      <c r="C49" s="2" t="s">
        <v>25</v>
      </c>
      <c r="D49" s="2" t="n">
        <v>350</v>
      </c>
      <c r="E49" s="2" t="s">
        <v>29</v>
      </c>
      <c r="F49" s="3" t="n">
        <v>45.35</v>
      </c>
      <c r="G49" s="2" t="n">
        <v>3.7</v>
      </c>
      <c r="H49" s="2" t="s">
        <v>20</v>
      </c>
      <c r="I49" s="2" t="s">
        <v>30</v>
      </c>
      <c r="J49" s="2" t="s">
        <v>30</v>
      </c>
      <c r="K49" s="2" t="n">
        <v>22</v>
      </c>
      <c r="L49" s="2" t="n">
        <v>21</v>
      </c>
      <c r="M49" s="2" t="s">
        <v>20</v>
      </c>
      <c r="N49" s="2" t="n">
        <v>120</v>
      </c>
      <c r="O49" s="2" t="s">
        <v>22</v>
      </c>
      <c r="P49" s="2" t="n">
        <v>2024</v>
      </c>
    </row>
    <row r="50" customFormat="false" ht="15" hidden="false" customHeight="false" outlineLevel="0" collapsed="false">
      <c r="A50" s="2" t="s">
        <v>88</v>
      </c>
      <c r="B50" s="2" t="s">
        <v>17</v>
      </c>
      <c r="C50" s="2" t="s">
        <v>25</v>
      </c>
      <c r="D50" s="2" t="n">
        <v>410</v>
      </c>
      <c r="E50" s="2" t="s">
        <v>36</v>
      </c>
      <c r="F50" s="3" t="n">
        <v>31.69</v>
      </c>
      <c r="G50" s="2" t="n">
        <v>3.2</v>
      </c>
      <c r="H50" s="2" t="s">
        <v>20</v>
      </c>
      <c r="I50" s="2" t="s">
        <v>30</v>
      </c>
      <c r="J50" s="2" t="s">
        <v>30</v>
      </c>
      <c r="K50" s="2" t="n">
        <v>15</v>
      </c>
      <c r="L50" s="2" t="n">
        <v>4</v>
      </c>
      <c r="M50" s="2" t="s">
        <v>30</v>
      </c>
      <c r="N50" s="2" t="n">
        <v>180</v>
      </c>
      <c r="O50" s="2" t="s">
        <v>22</v>
      </c>
      <c r="P50" s="2" t="n">
        <v>2024</v>
      </c>
    </row>
    <row r="51" customFormat="false" ht="15" hidden="false" customHeight="false" outlineLevel="0" collapsed="false">
      <c r="A51" s="2" t="s">
        <v>89</v>
      </c>
      <c r="B51" s="2" t="s">
        <v>39</v>
      </c>
      <c r="C51" s="2" t="s">
        <v>25</v>
      </c>
      <c r="D51" s="2" t="n">
        <v>380</v>
      </c>
      <c r="E51" s="2" t="s">
        <v>33</v>
      </c>
      <c r="F51" s="3" t="n">
        <v>31</v>
      </c>
      <c r="G51" s="2" t="n">
        <v>2.7</v>
      </c>
      <c r="H51" s="2" t="s">
        <v>20</v>
      </c>
      <c r="I51" s="2" t="s">
        <v>30</v>
      </c>
      <c r="J51" s="2" t="s">
        <v>30</v>
      </c>
      <c r="K51" s="2" t="n">
        <v>0</v>
      </c>
      <c r="L51" s="2" t="n">
        <v>0</v>
      </c>
      <c r="M51" s="2" t="s">
        <v>20</v>
      </c>
      <c r="N51" s="2" t="n">
        <v>90</v>
      </c>
      <c r="O51" s="2" t="s">
        <v>26</v>
      </c>
      <c r="P51" s="2" t="n">
        <v>2024</v>
      </c>
    </row>
    <row r="52" customFormat="false" ht="15" hidden="false" customHeight="false" outlineLevel="0" collapsed="false">
      <c r="A52" s="2" t="s">
        <v>90</v>
      </c>
      <c r="B52" s="2" t="s">
        <v>49</v>
      </c>
      <c r="C52" s="2" t="s">
        <v>25</v>
      </c>
      <c r="D52" s="2" t="n">
        <v>175</v>
      </c>
      <c r="E52" s="2" t="s">
        <v>29</v>
      </c>
      <c r="F52" s="3" t="n">
        <v>44.64</v>
      </c>
      <c r="G52" s="2" t="n">
        <v>3.2</v>
      </c>
      <c r="H52" s="2" t="s">
        <v>30</v>
      </c>
      <c r="I52" s="2" t="s">
        <v>20</v>
      </c>
      <c r="J52" s="2" t="s">
        <v>21</v>
      </c>
      <c r="K52" s="2" t="n">
        <v>20</v>
      </c>
      <c r="L52" s="2" t="n">
        <v>3</v>
      </c>
      <c r="M52" s="2" t="s">
        <v>30</v>
      </c>
      <c r="N52" s="2" t="n">
        <v>90</v>
      </c>
      <c r="O52" s="2" t="s">
        <v>26</v>
      </c>
      <c r="P52" s="2" t="n">
        <v>2025</v>
      </c>
    </row>
    <row r="53" customFormat="false" ht="15" hidden="false" customHeight="false" outlineLevel="0" collapsed="false">
      <c r="A53" s="2" t="s">
        <v>91</v>
      </c>
      <c r="B53" s="2" t="s">
        <v>39</v>
      </c>
      <c r="C53" s="2" t="s">
        <v>25</v>
      </c>
      <c r="D53" s="2" t="n">
        <v>175</v>
      </c>
      <c r="E53" s="2" t="s">
        <v>33</v>
      </c>
      <c r="F53" s="3" t="n">
        <v>31</v>
      </c>
      <c r="G53" s="2" t="n">
        <v>3.3</v>
      </c>
      <c r="H53" s="2" t="s">
        <v>30</v>
      </c>
      <c r="I53" s="2" t="s">
        <v>30</v>
      </c>
      <c r="J53" s="2" t="s">
        <v>30</v>
      </c>
      <c r="K53" s="2"/>
      <c r="L53" s="2"/>
      <c r="M53" s="2" t="s">
        <v>30</v>
      </c>
      <c r="N53" s="2" t="n">
        <v>60</v>
      </c>
      <c r="O53" s="2" t="s">
        <v>26</v>
      </c>
      <c r="P53" s="2" t="n">
        <v>2026</v>
      </c>
    </row>
    <row r="54" customFormat="false" ht="15" hidden="false" customHeight="false" outlineLevel="0" collapsed="false">
      <c r="A54" s="2" t="s">
        <v>92</v>
      </c>
      <c r="B54" s="2" t="s">
        <v>35</v>
      </c>
      <c r="C54" s="2" t="s">
        <v>25</v>
      </c>
      <c r="D54" s="2" t="n">
        <v>210</v>
      </c>
      <c r="E54" s="2" t="s">
        <v>33</v>
      </c>
      <c r="F54" s="3" t="n">
        <v>63.17</v>
      </c>
      <c r="G54" s="2" t="n">
        <v>3.1</v>
      </c>
      <c r="H54" s="2" t="s">
        <v>20</v>
      </c>
      <c r="I54" s="2" t="s">
        <v>30</v>
      </c>
      <c r="J54" s="2" t="s">
        <v>30</v>
      </c>
      <c r="K54" s="2" t="n">
        <v>0</v>
      </c>
      <c r="L54" s="2" t="n">
        <v>0</v>
      </c>
      <c r="M54" s="2" t="s">
        <v>30</v>
      </c>
      <c r="N54" s="2" t="n">
        <v>90</v>
      </c>
      <c r="O54" s="2" t="s">
        <v>22</v>
      </c>
      <c r="P54" s="2" t="n">
        <v>2026</v>
      </c>
    </row>
    <row r="55" customFormat="false" ht="15" hidden="false" customHeight="false" outlineLevel="0" collapsed="false">
      <c r="A55" s="2" t="s">
        <v>93</v>
      </c>
      <c r="B55" s="2" t="s">
        <v>45</v>
      </c>
      <c r="C55" s="2" t="s">
        <v>18</v>
      </c>
      <c r="D55" s="2" t="n">
        <v>240</v>
      </c>
      <c r="E55" s="2" t="s">
        <v>29</v>
      </c>
      <c r="F55" s="3" t="n">
        <v>42.9</v>
      </c>
      <c r="G55" s="2" t="n">
        <v>3.9</v>
      </c>
      <c r="H55" s="2" t="s">
        <v>30</v>
      </c>
      <c r="I55" s="2" t="s">
        <v>30</v>
      </c>
      <c r="J55" s="2" t="s">
        <v>30</v>
      </c>
      <c r="K55" s="2" t="n">
        <v>14</v>
      </c>
      <c r="L55" s="2" t="n">
        <v>13</v>
      </c>
      <c r="M55" s="2" t="s">
        <v>20</v>
      </c>
      <c r="N55" s="2" t="n">
        <v>90</v>
      </c>
      <c r="O55" s="2" t="s">
        <v>37</v>
      </c>
      <c r="P55" s="2" t="n">
        <v>2026</v>
      </c>
    </row>
    <row r="56" customFormat="false" ht="15" hidden="false" customHeight="false" outlineLevel="0" collapsed="false">
      <c r="A56" s="2" t="s">
        <v>94</v>
      </c>
      <c r="B56" s="2" t="s">
        <v>24</v>
      </c>
      <c r="C56" s="2" t="s">
        <v>25</v>
      </c>
      <c r="D56" s="2" t="n">
        <v>225</v>
      </c>
      <c r="E56" s="2" t="s">
        <v>29</v>
      </c>
      <c r="F56" s="3" t="n">
        <v>51.21</v>
      </c>
      <c r="G56" s="2" t="n">
        <v>2.9</v>
      </c>
      <c r="H56" s="2" t="s">
        <v>20</v>
      </c>
      <c r="I56" s="2" t="s">
        <v>30</v>
      </c>
      <c r="J56" s="2" t="s">
        <v>30</v>
      </c>
      <c r="K56" s="2" t="n">
        <v>12</v>
      </c>
      <c r="L56" s="2" t="n">
        <v>5</v>
      </c>
      <c r="M56" s="2" t="s">
        <v>30</v>
      </c>
      <c r="N56" s="2" t="n">
        <v>90</v>
      </c>
      <c r="O56" s="2" t="s">
        <v>22</v>
      </c>
      <c r="P56" s="2" t="n">
        <v>2024</v>
      </c>
    </row>
    <row r="57" customFormat="false" ht="15" hidden="false" customHeight="false" outlineLevel="0" collapsed="false">
      <c r="A57" s="2" t="s">
        <v>95</v>
      </c>
      <c r="B57" s="2" t="s">
        <v>49</v>
      </c>
      <c r="C57" s="2" t="s">
        <v>25</v>
      </c>
      <c r="D57" s="2" t="n">
        <v>410</v>
      </c>
      <c r="E57" s="2" t="s">
        <v>19</v>
      </c>
      <c r="F57" s="3" t="n">
        <v>39.53</v>
      </c>
      <c r="G57" s="2" t="n">
        <v>4.2</v>
      </c>
      <c r="H57" s="2" t="s">
        <v>20</v>
      </c>
      <c r="I57" s="2" t="s">
        <v>20</v>
      </c>
      <c r="J57" s="2" t="s">
        <v>21</v>
      </c>
      <c r="K57" s="2" t="n">
        <v>6</v>
      </c>
      <c r="L57" s="2" t="n">
        <v>2</v>
      </c>
      <c r="M57" s="2" t="s">
        <v>30</v>
      </c>
      <c r="N57" s="2" t="n">
        <v>60</v>
      </c>
      <c r="O57" s="2" t="s">
        <v>37</v>
      </c>
      <c r="P57" s="2" t="n">
        <v>2025</v>
      </c>
    </row>
    <row r="58" customFormat="false" ht="15" hidden="false" customHeight="false" outlineLevel="0" collapsed="false">
      <c r="A58" s="2" t="s">
        <v>96</v>
      </c>
      <c r="B58" s="2" t="s">
        <v>43</v>
      </c>
      <c r="C58" s="2" t="s">
        <v>25</v>
      </c>
      <c r="D58" s="2" t="n">
        <v>450</v>
      </c>
      <c r="E58" s="2" t="s">
        <v>19</v>
      </c>
      <c r="F58" s="3" t="n">
        <v>36.16</v>
      </c>
      <c r="G58" s="2" t="n">
        <v>4.3</v>
      </c>
      <c r="H58" s="2" t="s">
        <v>20</v>
      </c>
      <c r="I58" s="2" t="s">
        <v>30</v>
      </c>
      <c r="J58" s="2" t="s">
        <v>30</v>
      </c>
      <c r="K58" s="2" t="n">
        <v>5</v>
      </c>
      <c r="L58" s="2" t="n">
        <v>4</v>
      </c>
      <c r="M58" s="2" t="s">
        <v>20</v>
      </c>
      <c r="N58" s="2" t="n">
        <v>90</v>
      </c>
      <c r="O58" s="2" t="s">
        <v>26</v>
      </c>
      <c r="P58" s="2" t="n">
        <v>2026</v>
      </c>
    </row>
    <row r="59" customFormat="false" ht="15" hidden="false" customHeight="false" outlineLevel="0" collapsed="false">
      <c r="A59" s="2" t="s">
        <v>97</v>
      </c>
      <c r="B59" s="2" t="s">
        <v>24</v>
      </c>
      <c r="C59" s="2" t="s">
        <v>25</v>
      </c>
      <c r="D59" s="2" t="n">
        <v>450</v>
      </c>
      <c r="E59" s="2" t="s">
        <v>29</v>
      </c>
      <c r="F59" s="3" t="n">
        <v>44.2</v>
      </c>
      <c r="G59" s="2" t="n">
        <v>3.7</v>
      </c>
      <c r="H59" s="2" t="s">
        <v>20</v>
      </c>
      <c r="I59" s="2" t="s">
        <v>20</v>
      </c>
      <c r="J59" s="2" t="s">
        <v>21</v>
      </c>
      <c r="K59" s="2" t="n">
        <v>10</v>
      </c>
      <c r="L59" s="2" t="n">
        <v>9</v>
      </c>
      <c r="M59" s="2" t="s">
        <v>20</v>
      </c>
      <c r="N59" s="2" t="n">
        <v>60</v>
      </c>
      <c r="O59" s="2" t="s">
        <v>26</v>
      </c>
      <c r="P59" s="2" t="n">
        <v>2023</v>
      </c>
    </row>
    <row r="60" customFormat="false" ht="15" hidden="false" customHeight="false" outlineLevel="0" collapsed="false">
      <c r="A60" s="2" t="s">
        <v>98</v>
      </c>
      <c r="B60" s="2" t="s">
        <v>52</v>
      </c>
      <c r="C60" s="2" t="s">
        <v>25</v>
      </c>
      <c r="D60" s="2" t="n">
        <v>260</v>
      </c>
      <c r="E60" s="2" t="s">
        <v>29</v>
      </c>
      <c r="F60" s="3" t="n">
        <v>44.79</v>
      </c>
      <c r="G60" s="2" t="n">
        <v>3.3</v>
      </c>
      <c r="H60" s="2" t="s">
        <v>20</v>
      </c>
      <c r="I60" s="2" t="s">
        <v>20</v>
      </c>
      <c r="J60" s="2" t="s">
        <v>21</v>
      </c>
      <c r="K60" s="2" t="n">
        <v>10</v>
      </c>
      <c r="L60" s="2" t="n">
        <v>9</v>
      </c>
      <c r="M60" s="2" t="s">
        <v>20</v>
      </c>
      <c r="N60" s="2" t="n">
        <v>90</v>
      </c>
      <c r="O60" s="2" t="s">
        <v>26</v>
      </c>
      <c r="P60" s="2" t="n">
        <v>2026</v>
      </c>
    </row>
    <row r="61" customFormat="false" ht="15" hidden="false" customHeight="false" outlineLevel="0" collapsed="false">
      <c r="A61" s="2" t="s">
        <v>99</v>
      </c>
      <c r="B61" s="2" t="s">
        <v>43</v>
      </c>
      <c r="C61" s="2" t="s">
        <v>25</v>
      </c>
      <c r="D61" s="2" t="n">
        <v>410</v>
      </c>
      <c r="E61" s="2" t="s">
        <v>29</v>
      </c>
      <c r="F61" s="3" t="n">
        <v>51.6</v>
      </c>
      <c r="G61" s="2" t="n">
        <v>3</v>
      </c>
      <c r="H61" s="2" t="s">
        <v>20</v>
      </c>
      <c r="I61" s="2" t="s">
        <v>30</v>
      </c>
      <c r="J61" s="2" t="s">
        <v>20</v>
      </c>
      <c r="K61" s="2" t="n">
        <v>15</v>
      </c>
      <c r="L61" s="2" t="n">
        <v>6</v>
      </c>
      <c r="M61" s="2" t="s">
        <v>30</v>
      </c>
      <c r="N61" s="2" t="n">
        <v>90</v>
      </c>
      <c r="O61" s="2" t="s">
        <v>22</v>
      </c>
      <c r="P61" s="2" t="n">
        <v>2026</v>
      </c>
    </row>
  </sheetData>
  <autoFilter ref="A1:P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5" min="2" style="0" width="16"/>
  </cols>
  <sheetData>
    <row r="1" customFormat="false" ht="15" hidden="false" customHeight="false" outlineLevel="0" collapsed="false">
      <c r="A1" s="4" t="s">
        <v>100</v>
      </c>
      <c r="B1" s="4" t="s">
        <v>101</v>
      </c>
      <c r="C1" s="4" t="s">
        <v>29</v>
      </c>
      <c r="D1" s="4" t="s">
        <v>33</v>
      </c>
      <c r="E1" s="4" t="s">
        <v>19</v>
      </c>
    </row>
    <row r="2" customFormat="false" ht="15" hidden="false" customHeight="false" outlineLevel="0" collapsed="false">
      <c r="A2" s="2" t="s">
        <v>102</v>
      </c>
      <c r="B2" s="2" t="n">
        <f aca="false">COUNTA(Panel!A2:A61)</f>
        <v>60</v>
      </c>
      <c r="C2" s="2" t="n">
        <f aca="false">COUNTIF(Panel!$E$2:$E$61,"Archstone DMS")</f>
        <v>25</v>
      </c>
      <c r="D2" s="2" t="n">
        <f aca="false">COUNTIF(Panel!$E$2:$E$61,"Hooli Docs")</f>
        <v>16</v>
      </c>
      <c r="E2" s="2" t="n">
        <f aca="false">COUNTIF(Panel!$E$2:$E$61,"Pied Piper Vault")</f>
        <v>12</v>
      </c>
    </row>
    <row r="3" customFormat="false" ht="15" hidden="false" customHeight="false" outlineLevel="0" collapsed="false">
      <c r="A3" s="2" t="s">
        <v>103</v>
      </c>
      <c r="B3" s="3" t="n">
        <f aca="false">ROUND(AVERAGE(Panel!F2:F61),2)</f>
        <v>43.33</v>
      </c>
      <c r="C3" s="3" t="n">
        <f aca="false">IFERROR(ROUND(AVERAGEIF(Panel!$E$2:$E$61,"Archstone DMS",Panel!F2:F61),2),"")</f>
        <v>45.52</v>
      </c>
      <c r="D3" s="3" t="n">
        <f aca="false">IFERROR(ROUND(AVERAGEIF(Panel!$E$2:$E$61,"Hooli Docs",Panel!F2:F61),2),"")</f>
        <v>41.09</v>
      </c>
      <c r="E3" s="3" t="n">
        <f aca="false">IFERROR(ROUND(AVERAGEIF(Panel!$E$2:$E$61,"Pied Piper Vault",Panel!F2:F61),2),"")</f>
        <v>43.82</v>
      </c>
    </row>
    <row r="4" customFormat="false" ht="15" hidden="false" customHeight="false" outlineLevel="0" collapsed="false">
      <c r="A4" s="2" t="s">
        <v>104</v>
      </c>
      <c r="B4" s="3" t="n">
        <f aca="false">ROUND(PERCENTILE(Panel!F2:F61,0.25),2)</f>
        <v>34.88</v>
      </c>
      <c r="C4" s="3"/>
      <c r="D4" s="3"/>
      <c r="E4" s="3"/>
    </row>
    <row r="5" customFormat="false" ht="15" hidden="false" customHeight="false" outlineLevel="0" collapsed="false">
      <c r="A5" s="2" t="s">
        <v>105</v>
      </c>
      <c r="B5" s="3" t="n">
        <f aca="false">ROUND(MEDIAN(Panel!F2:F61),2)</f>
        <v>43.79</v>
      </c>
      <c r="C5" s="3"/>
      <c r="D5" s="3"/>
      <c r="E5" s="3"/>
    </row>
    <row r="6" customFormat="false" ht="15" hidden="false" customHeight="false" outlineLevel="0" collapsed="false">
      <c r="A6" s="2" t="s">
        <v>106</v>
      </c>
      <c r="B6" s="3" t="n">
        <f aca="false">ROUND(PERCENTILE(Panel!F2:F61,0.75),2)</f>
        <v>48.92</v>
      </c>
      <c r="C6" s="3"/>
      <c r="D6" s="3"/>
      <c r="E6" s="3"/>
    </row>
    <row r="7" customFormat="false" ht="15" hidden="false" customHeight="false" outlineLevel="0" collapsed="false">
      <c r="A7" s="2" t="s">
        <v>107</v>
      </c>
      <c r="B7" s="2" t="n">
        <f aca="false">ROUND(AVERAGE(Panel!G2:G61),2)</f>
        <v>3.49</v>
      </c>
      <c r="C7" s="2" t="n">
        <f aca="false">IFERROR(ROUND(AVERAGEIF(Panel!$E$2:$E$61,"Archstone DMS",Panel!G2:G61),2),"")</f>
        <v>3.45</v>
      </c>
      <c r="D7" s="2" t="n">
        <f aca="false">IFERROR(ROUND(AVERAGEIF(Panel!$E$2:$E$61,"Hooli Docs",Panel!G2:G61),2),"")</f>
        <v>3.38</v>
      </c>
      <c r="E7" s="2" t="n">
        <f aca="false">IFERROR(ROUND(AVERAGEIF(Panel!$E$2:$E$61,"Pied Piper Vault",Panel!G2:G61),2),"")</f>
        <v>4.14</v>
      </c>
    </row>
    <row r="8" customFormat="false" ht="15" hidden="false" customHeight="false" outlineLevel="0" collapsed="false">
      <c r="A8" s="2" t="s">
        <v>108</v>
      </c>
      <c r="B8" s="5" t="n">
        <f aca="false">COUNTIF(Panel!H2:H61,"Yes")/COUNTA(Panel!H2:H61)</f>
        <v>0.183333333333333</v>
      </c>
      <c r="C8" s="5" t="n">
        <f aca="false">IFERROR(COUNTIFS(Panel!$E$2:$E$61,"Archstone DMS",Panel!H2:H61,"Yes")/COUNTIF(Panel!$E$2:$E$61,"Archstone DMS"),"")</f>
        <v>0.28</v>
      </c>
      <c r="D8" s="5" t="n">
        <f aca="false">IFERROR(COUNTIFS(Panel!$E$2:$E$61,"Hooli Docs",Panel!H2:H61,"Yes")/COUNTIF(Panel!$E$2:$E$61,"Hooli Docs"),"")</f>
        <v>0.0625</v>
      </c>
      <c r="E8" s="5" t="n">
        <f aca="false">IFERROR(COUNTIFS(Panel!$E$2:$E$61,"Pied Piper Vault",Panel!H2:H61,"Yes")/COUNTIF(Panel!$E$2:$E$61,"Pied Piper Vault"),"")</f>
        <v>0.166666666666667</v>
      </c>
    </row>
    <row r="9" customFormat="false" ht="15" hidden="false" customHeight="false" outlineLevel="0" collapsed="false">
      <c r="A9" s="2" t="s">
        <v>109</v>
      </c>
      <c r="B9" s="5" t="n">
        <f aca="false">COUNTIF(Panel!I2:I61,"Yes")/COUNTA(Panel!I2:I61)</f>
        <v>0.65</v>
      </c>
      <c r="C9" s="5"/>
      <c r="D9" s="5"/>
      <c r="E9" s="5"/>
    </row>
    <row r="10" customFormat="false" ht="15" hidden="false" customHeight="false" outlineLevel="0" collapsed="false">
      <c r="A10" s="2" t="s">
        <v>110</v>
      </c>
      <c r="B10" s="5" t="n">
        <f aca="false">IFERROR(COUNTIF(Panel!J2:J61,"Yes")/COUNTIF(Panel!I2:I61,"Yes"),"")</f>
        <v>0.794871794871795</v>
      </c>
      <c r="C10" s="5"/>
      <c r="D10" s="5"/>
      <c r="E10" s="5"/>
    </row>
    <row r="11" customFormat="false" ht="15" hidden="false" customHeight="false" outlineLevel="0" collapsed="false">
      <c r="A11" s="2" t="s">
        <v>111</v>
      </c>
      <c r="B11" s="2" t="n">
        <f aca="false">MEDIAN(Panel!K2:K61)</f>
        <v>12</v>
      </c>
      <c r="C11" s="2"/>
      <c r="D11" s="2"/>
      <c r="E11" s="2"/>
    </row>
    <row r="12" customFormat="false" ht="15" hidden="false" customHeight="false" outlineLevel="0" collapsed="false">
      <c r="A12" s="2" t="s">
        <v>112</v>
      </c>
      <c r="B12" s="2" t="n">
        <f aca="false" t="array" ref="B12:B12">MEDIAN(IF(Panel!$M$2:$M$61="Yes",Panel!L2:L61))</f>
        <v>3</v>
      </c>
      <c r="C12" s="2"/>
      <c r="D12" s="2"/>
      <c r="E12" s="2"/>
    </row>
    <row r="13" customFormat="false" ht="15" hidden="false" customHeight="false" outlineLevel="0" collapsed="false">
      <c r="A13" s="2" t="s">
        <v>113</v>
      </c>
      <c r="B13" s="2" t="n">
        <f aca="false" t="array" ref="B13:B13">MEDIAN(IF(Panel!$M$2:$M$61="No",Panel!L2:L61))</f>
        <v>9</v>
      </c>
      <c r="C13" s="2"/>
      <c r="D13" s="2"/>
      <c r="E13" s="2"/>
    </row>
    <row r="14" customFormat="false" ht="15" hidden="false" customHeight="false" outlineLevel="0" collapsed="false">
      <c r="A14" s="2" t="s">
        <v>114</v>
      </c>
      <c r="B14" s="5" t="n">
        <f aca="false">COUNTIF(Panel!N2:N61,"&gt;=120")/COUNTA(Panel!N2:N61)</f>
        <v>0.383333333333333</v>
      </c>
      <c r="C14" s="5"/>
      <c r="D14" s="5"/>
      <c r="E14" s="5"/>
    </row>
    <row r="15" customFormat="false" ht="15" hidden="false" customHeight="false" outlineLevel="0" collapsed="false">
      <c r="A15" s="2" t="s">
        <v>115</v>
      </c>
      <c r="B15" s="5" t="n">
        <f aca="false">COUNTIF(Panel!O2:O61,"Annual")/COUNTA(Panel!O2:O61)</f>
        <v>0.383333333333333</v>
      </c>
      <c r="C15" s="5"/>
      <c r="D15" s="5"/>
      <c r="E15"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10"/>
  </cols>
  <sheetData>
    <row r="1" customFormat="false" ht="15" hidden="false" customHeight="false" outlineLevel="0" collapsed="false">
      <c r="A1" s="4" t="s">
        <v>116</v>
      </c>
      <c r="B1" s="4" t="s">
        <v>117</v>
      </c>
    </row>
    <row r="2" customFormat="false" ht="23.85" hidden="false" customHeight="false" outlineLevel="0" collapsed="false">
      <c r="A2" s="6" t="s">
        <v>118</v>
      </c>
      <c r="B2" s="7" t="s">
        <v>119</v>
      </c>
    </row>
    <row r="3" customFormat="false" ht="23.85" hidden="false" customHeight="false" outlineLevel="0" collapsed="false">
      <c r="A3" s="6" t="s">
        <v>120</v>
      </c>
      <c r="B3" s="7" t="s">
        <v>121</v>
      </c>
    </row>
    <row r="4" customFormat="false" ht="23.85" hidden="false" customHeight="false" outlineLevel="0" collapsed="false">
      <c r="A4" s="6" t="s">
        <v>122</v>
      </c>
      <c r="B4" s="7" t="s">
        <v>123</v>
      </c>
    </row>
    <row r="5" customFormat="false" ht="15" hidden="false" customHeight="false" outlineLevel="0" collapsed="false">
      <c r="A5" s="6" t="s">
        <v>124</v>
      </c>
      <c r="B5" s="7"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2026-09-07T19:48:32Z</dcterms:created>
  <dc:creator>Northstar Legal Technology Index</dc:creator>
  <dc:description/>
  <dc:language>en-US</dc:language>
  <cp:lastModifiedBy/>
  <dcterms:modified xsi:type="dcterms:W3CDTF">2026-09-07T19:48:32Z</dcterms:modified>
  <cp:revision>0</cp:revision>
  <dc:subject/>
  <dc:title>Corporate Legal DMS Peer Poll 2026</dc:title>
</cp:coreProperties>
</file>

<file path=docProps/custom.xml><?xml version="1.0" encoding="utf-8"?>
<Properties xmlns="http://schemas.openxmlformats.org/officeDocument/2006/custom-properties" xmlns:vt="http://schemas.openxmlformats.org/officeDocument/2006/docPropsVTypes"/>
</file>