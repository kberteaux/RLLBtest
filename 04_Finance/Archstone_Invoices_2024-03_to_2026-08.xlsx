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voices" sheetId="1" state="visible" r:id="rId3"/>
    <sheet name="Summary" sheetId="2" state="visible" r:id="rId4"/>
    <sheet name="AP Notes" sheetId="3" state="visible" r:id="rId5"/>
  </sheets>
  <definedNames>
    <definedName function="false" hidden="true" localSheetId="0" name="_xlnm._FilterDatabase" vbProcedure="false">Invoices!$A$1:$U$31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<sst xmlns="http://schemas.openxmlformats.org/spreadsheetml/2006/main" count="174" uniqueCount="115">
  <si>
    <t xml:space="preserve">invoice_number</t>
  </si>
  <si>
    <t xml:space="preserve">invoice_date</t>
  </si>
  <si>
    <t xml:space="preserve">service_period</t>
  </si>
  <si>
    <t xml:space="preserve">seats_billed</t>
  </si>
  <si>
    <t xml:space="preserve">rate_per_seat</t>
  </si>
  <si>
    <t xml:space="preserve">subscription_amount</t>
  </si>
  <si>
    <t xml:space="preserve">included_storage_gb</t>
  </si>
  <si>
    <t xml:space="preserve">storage_used_gb</t>
  </si>
  <si>
    <t xml:space="preserve">overage_gb</t>
  </si>
  <si>
    <t xml:space="preserve">overage_rate_per_gb</t>
  </si>
  <si>
    <t xml:space="preserve">overage_amount</t>
  </si>
  <si>
    <t xml:space="preserve">professional_services_desc</t>
  </si>
  <si>
    <t xml:space="preserve">professional_services_amount</t>
  </si>
  <si>
    <t xml:space="preserve">credit_desc</t>
  </si>
  <si>
    <t xml:space="preserve">credit_amount</t>
  </si>
  <si>
    <t xml:space="preserve">subtotal</t>
  </si>
  <si>
    <t xml:space="preserve">tax</t>
  </si>
  <si>
    <t xml:space="preserve">total_due</t>
  </si>
  <si>
    <t xml:space="preserve">po_number</t>
  </si>
  <si>
    <t xml:space="preserve">status</t>
  </si>
  <si>
    <t xml:space="preserve">paid_date</t>
  </si>
  <si>
    <t xml:space="preserve">ARC-INV-202403-4410</t>
  </si>
  <si>
    <t xml:space="preserve">2024-03-01 to 2024-03-31</t>
  </si>
  <si>
    <t xml:space="preserve">PO-LGL-2024-0187</t>
  </si>
  <si>
    <t xml:space="preserve">Paid</t>
  </si>
  <si>
    <t xml:space="preserve">ARC-INV-202404-4411</t>
  </si>
  <si>
    <t xml:space="preserve">2024-04-01 to 2024-04-30</t>
  </si>
  <si>
    <t xml:space="preserve">ARC-INV-202405-4412</t>
  </si>
  <si>
    <t xml:space="preserve">2024-05-01 to 2024-05-31</t>
  </si>
  <si>
    <t xml:space="preserve">ARC-INV-202406-4413</t>
  </si>
  <si>
    <t xml:space="preserve">2024-06-01 to 2024-06-30</t>
  </si>
  <si>
    <t xml:space="preserve">ARC-INV-202407-4414</t>
  </si>
  <si>
    <t xml:space="preserve">2024-07-01 to 2024-07-31</t>
  </si>
  <si>
    <t xml:space="preserve">ARC-INV-202408-4415</t>
  </si>
  <si>
    <t xml:space="preserve">2024-08-01 to 2024-08-31</t>
  </si>
  <si>
    <t xml:space="preserve">ARC-INV-202409-4416</t>
  </si>
  <si>
    <t xml:space="preserve">2024-09-01 to 2024-09-30</t>
  </si>
  <si>
    <t xml:space="preserve">ARC-INV-202410-4417</t>
  </si>
  <si>
    <t xml:space="preserve">2024-10-01 to 2024-10-31</t>
  </si>
  <si>
    <t xml:space="preserve">Data cleanup and re-indexing services (T&amp;M) - 28 hrs @ $350</t>
  </si>
  <si>
    <t xml:space="preserve">ARC-INV-202411-4418</t>
  </si>
  <si>
    <t xml:space="preserve">2024-11-01 to 2024-11-30</t>
  </si>
  <si>
    <t xml:space="preserve">ARC-INV-202412-4419</t>
  </si>
  <si>
    <t xml:space="preserve">2024-12-01 to 2024-12-31</t>
  </si>
  <si>
    <t xml:space="preserve">ARC-INV-202501-4420</t>
  </si>
  <si>
    <t xml:space="preserve">2025-01-01 to 2025-01-31</t>
  </si>
  <si>
    <t xml:space="preserve">ARC-INV-202502-4421</t>
  </si>
  <si>
    <t xml:space="preserve">2025-02-01 to 2025-02-28</t>
  </si>
  <si>
    <t xml:space="preserve">ARC-INV-202503-4422</t>
  </si>
  <si>
    <t xml:space="preserve">2025-03-01 to 2025-03-31</t>
  </si>
  <si>
    <t xml:space="preserve">ARC-INV-202504-4423</t>
  </si>
  <si>
    <t xml:space="preserve">2025-04-01 to 2025-04-30</t>
  </si>
  <si>
    <t xml:space="preserve">ARC-INV-202505-4424</t>
  </si>
  <si>
    <t xml:space="preserve">2025-05-01 to 2025-05-31</t>
  </si>
  <si>
    <t xml:space="preserve">ARC-INV-202506-4425</t>
  </si>
  <si>
    <t xml:space="preserve">2025-06-01 to 2025-06-30</t>
  </si>
  <si>
    <t xml:space="preserve">ARC-INV-202507-4426</t>
  </si>
  <si>
    <t xml:space="preserve">2025-07-01 to 2025-07-31</t>
  </si>
  <si>
    <t xml:space="preserve">ARC-INV-202508-4427</t>
  </si>
  <si>
    <t xml:space="preserve">2025-08-01 to 2025-08-31</t>
  </si>
  <si>
    <t xml:space="preserve">ARC-INV-202509-4428</t>
  </si>
  <si>
    <t xml:space="preserve">2025-09-01 to 2025-09-30</t>
  </si>
  <si>
    <t xml:space="preserve">ARC-INV-202510-4429</t>
  </si>
  <si>
    <t xml:space="preserve">2025-10-01 to 2025-10-31</t>
  </si>
  <si>
    <t xml:space="preserve">ARC-INV-202511-4430</t>
  </si>
  <si>
    <t xml:space="preserve">2025-11-01 to 2025-11-30</t>
  </si>
  <si>
    <t xml:space="preserve">ARC-INV-202512-4431</t>
  </si>
  <si>
    <t xml:space="preserve">2025-12-01 to 2025-12-31</t>
  </si>
  <si>
    <t xml:space="preserve">Goodwill service credit (ref. INC-2025-1112)</t>
  </si>
  <si>
    <t xml:space="preserve">ARC-INV-202601-4432</t>
  </si>
  <si>
    <t xml:space="preserve">2026-01-01 to 2026-01-31</t>
  </si>
  <si>
    <t xml:space="preserve">PO-LGL-2026-0042</t>
  </si>
  <si>
    <t xml:space="preserve">ARC-INV-202602-4433</t>
  </si>
  <si>
    <t xml:space="preserve">2026-02-01 to 2026-02-28</t>
  </si>
  <si>
    <t xml:space="preserve">ARC-INV-202603-4434</t>
  </si>
  <si>
    <t xml:space="preserve">2026-03-01 to 2026-03-31</t>
  </si>
  <si>
    <t xml:space="preserve">ARC-INV-202604-4435</t>
  </si>
  <si>
    <t xml:space="preserve">2026-04-01 to 2026-04-30</t>
  </si>
  <si>
    <t xml:space="preserve">ARC-INV-202605-4436</t>
  </si>
  <si>
    <t xml:space="preserve">2026-05-01 to 2026-05-31</t>
  </si>
  <si>
    <t xml:space="preserve">ARC-INV-202606-4437</t>
  </si>
  <si>
    <t xml:space="preserve">2026-06-01 to 2026-06-30</t>
  </si>
  <si>
    <t xml:space="preserve">ARC-INV-202607-4438</t>
  </si>
  <si>
    <t xml:space="preserve">2026-07-01 to 2026-07-31</t>
  </si>
  <si>
    <t xml:space="preserve">ARC-INV-202608-4439</t>
  </si>
  <si>
    <t xml:space="preserve">2026-08-01 to 2026-08-31</t>
  </si>
  <si>
    <t xml:space="preserve">Contract year</t>
  </si>
  <si>
    <t xml:space="preserve">Period</t>
  </si>
  <si>
    <t xml:space="preserve">Subscription</t>
  </si>
  <si>
    <t xml:space="preserve">Storage overage</t>
  </si>
  <si>
    <t xml:space="preserve">Professional services</t>
  </si>
  <si>
    <t xml:space="preserve">Credits</t>
  </si>
  <si>
    <t xml:space="preserve">Total</t>
  </si>
  <si>
    <t xml:space="preserve">Year 1</t>
  </si>
  <si>
    <t xml:space="preserve">2024-03-01 to 2025-02-28</t>
  </si>
  <si>
    <t xml:space="preserve">Year 2</t>
  </si>
  <si>
    <t xml:space="preserve">2025-03-01 to 2026-02-28</t>
  </si>
  <si>
    <t xml:space="preserve">Year 3 (to date)</t>
  </si>
  <si>
    <t xml:space="preserve">2026-03-01 to 2026-08-31</t>
  </si>
  <si>
    <t xml:space="preserve">Total to date</t>
  </si>
  <si>
    <t xml:space="preserve">Current monthly run-rate (Aug 2026)</t>
  </si>
  <si>
    <t xml:space="preserve">Storage used Aug 2026 (GB) vs included</t>
  </si>
  <si>
    <t xml:space="preserve">Overage growth: Year 2 vs Year 1</t>
  </si>
  <si>
    <t xml:space="preserve">Item</t>
  </si>
  <si>
    <t xml:space="preserve">Note</t>
  </si>
  <si>
    <t xml:space="preserve">Source</t>
  </si>
  <si>
    <t xml:space="preserve">Vandelay Accounts Payable export, vendor 'Archstone Software Inc', Mar 2024 to Aug 2026. Pulled 2026-09-03 by e-Billing &amp; Vendor Analyst, Legal Operations.</t>
  </si>
  <si>
    <t xml:space="preserve">Terms</t>
  </si>
  <si>
    <t xml:space="preserve">Monthly in advance, net 30, per Amendment 2. Seats billed = provisioned seats per the tenant, not active users.</t>
  </si>
  <si>
    <t xml:space="preserve">Escalator</t>
  </si>
  <si>
    <t xml:space="preserve">3% applied on 1 March 2025 and 1 March 2026 per Amendment 2 §3.</t>
  </si>
  <si>
    <t xml:space="preserve">The October 2024 charge references no statement of work. Legal Ops has no record of approving it; it was paid against the standing PO.</t>
  </si>
  <si>
    <t xml:space="preserve">The December 2025 goodwill credit followed the November outage. No service-level credit was claimed under Exhibit B; the 30-day claim window had passed.</t>
  </si>
  <si>
    <t xml:space="preserve">Tax</t>
  </si>
  <si>
    <t xml:space="preserve">Vandelay holds a resale/exemption certificate on file with the vendor; tax is invoiced at zero.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</si>
</sst>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\-mm\-dd"/>
    <numFmt numFmtId="166" formatCode="\$#,##0.00"/>
    <numFmt numFmtId="167" formatCode="\$#,##0"/>
    <numFmt numFmtId="168" formatCode="0.0%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A1814"/>
        <bgColor rgb="FF0000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A181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1A1814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2"/>
    <col collapsed="false" customWidth="true" hidden="false" outlineLevel="0" max="3" min="3" style="0" width="24"/>
    <col collapsed="false" customWidth="true" hidden="false" outlineLevel="0" max="4" min="4" style="0" width="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8" min="7" style="0" width="12"/>
    <col collapsed="false" customWidth="true" hidden="false" outlineLevel="0" max="10" min="9" style="0" width="10"/>
    <col collapsed="false" customWidth="true" hidden="false" outlineLevel="0" max="11" min="11" style="0" width="12"/>
    <col collapsed="false" customWidth="true" hidden="false" outlineLevel="0" max="12" min="12" style="0" width="40"/>
    <col collapsed="false" customWidth="true" hidden="false" outlineLevel="0" max="13" min="13" style="0" width="12"/>
    <col collapsed="false" customWidth="true" hidden="false" outlineLevel="0" max="14" min="14" style="0" width="40"/>
    <col collapsed="false" customWidth="true" hidden="false" outlineLevel="0" max="15" min="15" style="0" width="11"/>
    <col collapsed="false" customWidth="true" hidden="false" outlineLevel="0" max="16" min="16" style="0" width="13"/>
    <col collapsed="false" customWidth="true" hidden="false" outlineLevel="0" max="17" min="17" style="0" width="7"/>
    <col collapsed="false" customWidth="true" hidden="false" outlineLevel="0" max="18" min="18" style="0" width="13"/>
    <col collapsed="false" customWidth="true" hidden="false" outlineLevel="0" max="19" min="19" style="0" width="18"/>
    <col collapsed="false" customWidth="true" hidden="false" outlineLevel="0" max="20" min="20" style="0" width="8"/>
    <col collapsed="false" customWidth="true" hidden="false" outlineLevel="0" max="21" min="21" style="0" width="12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customFormat="false" ht="15" hidden="false" customHeight="false" outlineLevel="0" collapsed="false">
      <c r="A2" s="2" t="s">
        <v>21</v>
      </c>
      <c r="B2" s="3" t="n">
        <v>45352</v>
      </c>
      <c r="C2" s="2" t="s">
        <v>22</v>
      </c>
      <c r="D2" s="2" t="n">
        <v>240</v>
      </c>
      <c r="E2" s="4" t="n">
        <v>47.5</v>
      </c>
      <c r="F2" s="4" t="n">
        <v>11400</v>
      </c>
      <c r="G2" s="2" t="n">
        <v>5120</v>
      </c>
      <c r="H2" s="2" t="n">
        <v>4735</v>
      </c>
      <c r="I2" s="2" t="n">
        <v>0</v>
      </c>
      <c r="J2" s="4" t="n">
        <v>0.6</v>
      </c>
      <c r="K2" s="4" t="n">
        <v>0</v>
      </c>
      <c r="L2" s="2"/>
      <c r="M2" s="4" t="n">
        <v>0</v>
      </c>
      <c r="N2" s="2"/>
      <c r="O2" s="4" t="n">
        <v>0</v>
      </c>
      <c r="P2" s="4" t="n">
        <v>11400</v>
      </c>
      <c r="Q2" s="4" t="n">
        <v>0</v>
      </c>
      <c r="R2" s="4" t="n">
        <v>11400</v>
      </c>
      <c r="S2" s="2" t="s">
        <v>23</v>
      </c>
      <c r="T2" s="2" t="s">
        <v>24</v>
      </c>
      <c r="U2" s="3" t="n">
        <v>45388</v>
      </c>
    </row>
    <row r="3" customFormat="false" ht="15" hidden="false" customHeight="false" outlineLevel="0" collapsed="false">
      <c r="A3" s="2" t="s">
        <v>25</v>
      </c>
      <c r="B3" s="3" t="n">
        <v>45383</v>
      </c>
      <c r="C3" s="2" t="s">
        <v>26</v>
      </c>
      <c r="D3" s="2" t="n">
        <v>240</v>
      </c>
      <c r="E3" s="4" t="n">
        <v>47.5</v>
      </c>
      <c r="F3" s="4" t="n">
        <v>11400</v>
      </c>
      <c r="G3" s="2" t="n">
        <v>5120</v>
      </c>
      <c r="H3" s="2" t="n">
        <v>4826</v>
      </c>
      <c r="I3" s="2" t="n">
        <v>0</v>
      </c>
      <c r="J3" s="4" t="n">
        <v>0.6</v>
      </c>
      <c r="K3" s="4" t="n">
        <v>0</v>
      </c>
      <c r="L3" s="2"/>
      <c r="M3" s="4" t="n">
        <v>0</v>
      </c>
      <c r="N3" s="2"/>
      <c r="O3" s="4" t="n">
        <v>0</v>
      </c>
      <c r="P3" s="4" t="n">
        <v>11400</v>
      </c>
      <c r="Q3" s="4" t="n">
        <v>0</v>
      </c>
      <c r="R3" s="4" t="n">
        <v>11400</v>
      </c>
      <c r="S3" s="2" t="s">
        <v>23</v>
      </c>
      <c r="T3" s="2" t="s">
        <v>24</v>
      </c>
      <c r="U3" s="3" t="n">
        <v>45419</v>
      </c>
    </row>
    <row r="4" customFormat="false" ht="15" hidden="false" customHeight="false" outlineLevel="0" collapsed="false">
      <c r="A4" s="2" t="s">
        <v>27</v>
      </c>
      <c r="B4" s="3" t="n">
        <v>45413</v>
      </c>
      <c r="C4" s="2" t="s">
        <v>28</v>
      </c>
      <c r="D4" s="2" t="n">
        <v>240</v>
      </c>
      <c r="E4" s="4" t="n">
        <v>47.5</v>
      </c>
      <c r="F4" s="4" t="n">
        <v>11400</v>
      </c>
      <c r="G4" s="2" t="n">
        <v>5120</v>
      </c>
      <c r="H4" s="2" t="n">
        <v>4902</v>
      </c>
      <c r="I4" s="2" t="n">
        <v>0</v>
      </c>
      <c r="J4" s="4" t="n">
        <v>0.6</v>
      </c>
      <c r="K4" s="4" t="n">
        <v>0</v>
      </c>
      <c r="L4" s="2"/>
      <c r="M4" s="4" t="n">
        <v>0</v>
      </c>
      <c r="N4" s="2"/>
      <c r="O4" s="4" t="n">
        <v>0</v>
      </c>
      <c r="P4" s="4" t="n">
        <v>11400</v>
      </c>
      <c r="Q4" s="4" t="n">
        <v>0</v>
      </c>
      <c r="R4" s="4" t="n">
        <v>11400</v>
      </c>
      <c r="S4" s="2" t="s">
        <v>23</v>
      </c>
      <c r="T4" s="2" t="s">
        <v>24</v>
      </c>
      <c r="U4" s="3" t="n">
        <v>45449</v>
      </c>
    </row>
    <row r="5" customFormat="false" ht="15" hidden="false" customHeight="false" outlineLevel="0" collapsed="false">
      <c r="A5" s="2" t="s">
        <v>29</v>
      </c>
      <c r="B5" s="3" t="n">
        <v>45444</v>
      </c>
      <c r="C5" s="2" t="s">
        <v>30</v>
      </c>
      <c r="D5" s="2" t="n">
        <v>240</v>
      </c>
      <c r="E5" s="4" t="n">
        <v>47.5</v>
      </c>
      <c r="F5" s="4" t="n">
        <v>11400</v>
      </c>
      <c r="G5" s="2" t="n">
        <v>5120</v>
      </c>
      <c r="H5" s="2" t="n">
        <v>4988</v>
      </c>
      <c r="I5" s="2" t="n">
        <v>0</v>
      </c>
      <c r="J5" s="4" t="n">
        <v>0.6</v>
      </c>
      <c r="K5" s="4" t="n">
        <v>0</v>
      </c>
      <c r="L5" s="2"/>
      <c r="M5" s="4" t="n">
        <v>0</v>
      </c>
      <c r="N5" s="2"/>
      <c r="O5" s="4" t="n">
        <v>0</v>
      </c>
      <c r="P5" s="4" t="n">
        <v>11400</v>
      </c>
      <c r="Q5" s="4" t="n">
        <v>0</v>
      </c>
      <c r="R5" s="4" t="n">
        <v>11400</v>
      </c>
      <c r="S5" s="2" t="s">
        <v>23</v>
      </c>
      <c r="T5" s="2" t="s">
        <v>24</v>
      </c>
      <c r="U5" s="3" t="n">
        <v>45479</v>
      </c>
    </row>
    <row r="6" customFormat="false" ht="15" hidden="false" customHeight="false" outlineLevel="0" collapsed="false">
      <c r="A6" s="2" t="s">
        <v>31</v>
      </c>
      <c r="B6" s="3" t="n">
        <v>45474</v>
      </c>
      <c r="C6" s="2" t="s">
        <v>32</v>
      </c>
      <c r="D6" s="2" t="n">
        <v>240</v>
      </c>
      <c r="E6" s="4" t="n">
        <v>47.5</v>
      </c>
      <c r="F6" s="4" t="n">
        <v>11400</v>
      </c>
      <c r="G6" s="2" t="n">
        <v>5120</v>
      </c>
      <c r="H6" s="2" t="n">
        <v>5081</v>
      </c>
      <c r="I6" s="2" t="n">
        <v>0</v>
      </c>
      <c r="J6" s="4" t="n">
        <v>0.6</v>
      </c>
      <c r="K6" s="4" t="n">
        <v>0</v>
      </c>
      <c r="L6" s="2"/>
      <c r="M6" s="4" t="n">
        <v>0</v>
      </c>
      <c r="N6" s="2"/>
      <c r="O6" s="4" t="n">
        <v>0</v>
      </c>
      <c r="P6" s="4" t="n">
        <v>11400</v>
      </c>
      <c r="Q6" s="4" t="n">
        <v>0</v>
      </c>
      <c r="R6" s="4" t="n">
        <v>11400</v>
      </c>
      <c r="S6" s="2" t="s">
        <v>23</v>
      </c>
      <c r="T6" s="2" t="s">
        <v>24</v>
      </c>
      <c r="U6" s="3" t="n">
        <v>45503</v>
      </c>
    </row>
    <row r="7" customFormat="false" ht="15" hidden="false" customHeight="false" outlineLevel="0" collapsed="false">
      <c r="A7" s="2" t="s">
        <v>33</v>
      </c>
      <c r="B7" s="3" t="n">
        <v>45505</v>
      </c>
      <c r="C7" s="2" t="s">
        <v>34</v>
      </c>
      <c r="D7" s="2" t="n">
        <v>240</v>
      </c>
      <c r="E7" s="4" t="n">
        <v>47.5</v>
      </c>
      <c r="F7" s="4" t="n">
        <v>11400</v>
      </c>
      <c r="G7" s="2" t="n">
        <v>5120</v>
      </c>
      <c r="H7" s="2" t="n">
        <v>5180</v>
      </c>
      <c r="I7" s="2" t="n">
        <v>60</v>
      </c>
      <c r="J7" s="4" t="n">
        <v>0.6</v>
      </c>
      <c r="K7" s="4" t="n">
        <v>36</v>
      </c>
      <c r="L7" s="2"/>
      <c r="M7" s="4" t="n">
        <v>0</v>
      </c>
      <c r="N7" s="2"/>
      <c r="O7" s="4" t="n">
        <v>0</v>
      </c>
      <c r="P7" s="4" t="n">
        <v>11436</v>
      </c>
      <c r="Q7" s="4" t="n">
        <v>0</v>
      </c>
      <c r="R7" s="4" t="n">
        <v>11436</v>
      </c>
      <c r="S7" s="2" t="s">
        <v>23</v>
      </c>
      <c r="T7" s="2" t="s">
        <v>24</v>
      </c>
      <c r="U7" s="3" t="n">
        <v>45535</v>
      </c>
    </row>
    <row r="8" customFormat="false" ht="15" hidden="false" customHeight="false" outlineLevel="0" collapsed="false">
      <c r="A8" s="2" t="s">
        <v>35</v>
      </c>
      <c r="B8" s="3" t="n">
        <v>45536</v>
      </c>
      <c r="C8" s="2" t="s">
        <v>36</v>
      </c>
      <c r="D8" s="2" t="n">
        <v>240</v>
      </c>
      <c r="E8" s="4" t="n">
        <v>47.5</v>
      </c>
      <c r="F8" s="4" t="n">
        <v>11400</v>
      </c>
      <c r="G8" s="2" t="n">
        <v>5120</v>
      </c>
      <c r="H8" s="2" t="n">
        <v>5256</v>
      </c>
      <c r="I8" s="2" t="n">
        <v>136</v>
      </c>
      <c r="J8" s="4" t="n">
        <v>0.6</v>
      </c>
      <c r="K8" s="4" t="n">
        <v>81.6</v>
      </c>
      <c r="L8" s="2"/>
      <c r="M8" s="4" t="n">
        <v>0</v>
      </c>
      <c r="N8" s="2"/>
      <c r="O8" s="4" t="n">
        <v>0</v>
      </c>
      <c r="P8" s="4" t="n">
        <v>11481.6</v>
      </c>
      <c r="Q8" s="4" t="n">
        <v>0</v>
      </c>
      <c r="R8" s="4" t="n">
        <v>11481.6</v>
      </c>
      <c r="S8" s="2" t="s">
        <v>23</v>
      </c>
      <c r="T8" s="2" t="s">
        <v>24</v>
      </c>
      <c r="U8" s="3" t="n">
        <v>45563</v>
      </c>
    </row>
    <row r="9" customFormat="false" ht="15" hidden="false" customHeight="false" outlineLevel="0" collapsed="false">
      <c r="A9" s="2" t="s">
        <v>37</v>
      </c>
      <c r="B9" s="3" t="n">
        <v>45566</v>
      </c>
      <c r="C9" s="2" t="s">
        <v>38</v>
      </c>
      <c r="D9" s="2" t="n">
        <v>240</v>
      </c>
      <c r="E9" s="4" t="n">
        <v>47.5</v>
      </c>
      <c r="F9" s="4" t="n">
        <v>11400</v>
      </c>
      <c r="G9" s="2" t="n">
        <v>5120</v>
      </c>
      <c r="H9" s="2" t="n">
        <v>5346</v>
      </c>
      <c r="I9" s="2" t="n">
        <v>226</v>
      </c>
      <c r="J9" s="4" t="n">
        <v>0.6</v>
      </c>
      <c r="K9" s="4" t="n">
        <v>135.6</v>
      </c>
      <c r="L9" s="2" t="s">
        <v>39</v>
      </c>
      <c r="M9" s="4" t="n">
        <v>9800</v>
      </c>
      <c r="N9" s="2"/>
      <c r="O9" s="4" t="n">
        <v>0</v>
      </c>
      <c r="P9" s="4" t="n">
        <v>21335.6</v>
      </c>
      <c r="Q9" s="4" t="n">
        <v>0</v>
      </c>
      <c r="R9" s="4" t="n">
        <v>21335.6</v>
      </c>
      <c r="S9" s="2" t="s">
        <v>23</v>
      </c>
      <c r="T9" s="2" t="s">
        <v>24</v>
      </c>
      <c r="U9" s="3" t="n">
        <v>45599</v>
      </c>
    </row>
    <row r="10" customFormat="false" ht="15" hidden="false" customHeight="false" outlineLevel="0" collapsed="false">
      <c r="A10" s="2" t="s">
        <v>40</v>
      </c>
      <c r="B10" s="3" t="n">
        <v>45597</v>
      </c>
      <c r="C10" s="2" t="s">
        <v>41</v>
      </c>
      <c r="D10" s="2" t="n">
        <v>240</v>
      </c>
      <c r="E10" s="4" t="n">
        <v>47.5</v>
      </c>
      <c r="F10" s="4" t="n">
        <v>11400</v>
      </c>
      <c r="G10" s="2" t="n">
        <v>5120</v>
      </c>
      <c r="H10" s="2" t="n">
        <v>5421</v>
      </c>
      <c r="I10" s="2" t="n">
        <v>301</v>
      </c>
      <c r="J10" s="4" t="n">
        <v>0.6</v>
      </c>
      <c r="K10" s="4" t="n">
        <v>180.6</v>
      </c>
      <c r="L10" s="2"/>
      <c r="M10" s="4" t="n">
        <v>0</v>
      </c>
      <c r="N10" s="2"/>
      <c r="O10" s="4" t="n">
        <v>0</v>
      </c>
      <c r="P10" s="4" t="n">
        <v>11580.6</v>
      </c>
      <c r="Q10" s="4" t="n">
        <v>0</v>
      </c>
      <c r="R10" s="4" t="n">
        <v>11580.6</v>
      </c>
      <c r="S10" s="2" t="s">
        <v>23</v>
      </c>
      <c r="T10" s="2" t="s">
        <v>24</v>
      </c>
      <c r="U10" s="3" t="n">
        <v>45635</v>
      </c>
    </row>
    <row r="11" customFormat="false" ht="15" hidden="false" customHeight="false" outlineLevel="0" collapsed="false">
      <c r="A11" s="2" t="s">
        <v>42</v>
      </c>
      <c r="B11" s="3" t="n">
        <v>45627</v>
      </c>
      <c r="C11" s="2" t="s">
        <v>43</v>
      </c>
      <c r="D11" s="2" t="n">
        <v>240</v>
      </c>
      <c r="E11" s="4" t="n">
        <v>47.5</v>
      </c>
      <c r="F11" s="4" t="n">
        <v>11400</v>
      </c>
      <c r="G11" s="2" t="n">
        <v>5120</v>
      </c>
      <c r="H11" s="2" t="n">
        <v>5503</v>
      </c>
      <c r="I11" s="2" t="n">
        <v>383</v>
      </c>
      <c r="J11" s="4" t="n">
        <v>0.6</v>
      </c>
      <c r="K11" s="4" t="n">
        <v>229.8</v>
      </c>
      <c r="L11" s="2"/>
      <c r="M11" s="4" t="n">
        <v>0</v>
      </c>
      <c r="N11" s="2"/>
      <c r="O11" s="4" t="n">
        <v>0</v>
      </c>
      <c r="P11" s="4" t="n">
        <v>11629.8</v>
      </c>
      <c r="Q11" s="4" t="n">
        <v>0</v>
      </c>
      <c r="R11" s="4" t="n">
        <v>11629.8</v>
      </c>
      <c r="S11" s="2" t="s">
        <v>23</v>
      </c>
      <c r="T11" s="2" t="s">
        <v>24</v>
      </c>
      <c r="U11" s="3" t="n">
        <v>45651</v>
      </c>
    </row>
    <row r="12" customFormat="false" ht="15" hidden="false" customHeight="false" outlineLevel="0" collapsed="false">
      <c r="A12" s="2" t="s">
        <v>44</v>
      </c>
      <c r="B12" s="3" t="n">
        <v>45658</v>
      </c>
      <c r="C12" s="2" t="s">
        <v>45</v>
      </c>
      <c r="D12" s="2" t="n">
        <v>240</v>
      </c>
      <c r="E12" s="4" t="n">
        <v>47.5</v>
      </c>
      <c r="F12" s="4" t="n">
        <v>11400</v>
      </c>
      <c r="G12" s="2" t="n">
        <v>5120</v>
      </c>
      <c r="H12" s="2" t="n">
        <v>5596</v>
      </c>
      <c r="I12" s="2" t="n">
        <v>476</v>
      </c>
      <c r="J12" s="4" t="n">
        <v>0.6</v>
      </c>
      <c r="K12" s="4" t="n">
        <v>285.6</v>
      </c>
      <c r="L12" s="2"/>
      <c r="M12" s="4" t="n">
        <v>0</v>
      </c>
      <c r="N12" s="2"/>
      <c r="O12" s="4" t="n">
        <v>0</v>
      </c>
      <c r="P12" s="4" t="n">
        <v>11685.6</v>
      </c>
      <c r="Q12" s="4" t="n">
        <v>0</v>
      </c>
      <c r="R12" s="4" t="n">
        <v>11685.6</v>
      </c>
      <c r="S12" s="2" t="s">
        <v>23</v>
      </c>
      <c r="T12" s="2" t="s">
        <v>24</v>
      </c>
      <c r="U12" s="3" t="n">
        <v>45685</v>
      </c>
    </row>
    <row r="13" customFormat="false" ht="15" hidden="false" customHeight="false" outlineLevel="0" collapsed="false">
      <c r="A13" s="2" t="s">
        <v>46</v>
      </c>
      <c r="B13" s="3" t="n">
        <v>45689</v>
      </c>
      <c r="C13" s="2" t="s">
        <v>47</v>
      </c>
      <c r="D13" s="2" t="n">
        <v>240</v>
      </c>
      <c r="E13" s="4" t="n">
        <v>47.5</v>
      </c>
      <c r="F13" s="4" t="n">
        <v>11400</v>
      </c>
      <c r="G13" s="2" t="n">
        <v>5120</v>
      </c>
      <c r="H13" s="2" t="n">
        <v>5688</v>
      </c>
      <c r="I13" s="2" t="n">
        <v>568</v>
      </c>
      <c r="J13" s="4" t="n">
        <v>0.6</v>
      </c>
      <c r="K13" s="4" t="n">
        <v>340.8</v>
      </c>
      <c r="L13" s="2"/>
      <c r="M13" s="4" t="n">
        <v>0</v>
      </c>
      <c r="N13" s="2"/>
      <c r="O13" s="4" t="n">
        <v>0</v>
      </c>
      <c r="P13" s="4" t="n">
        <v>11740.8</v>
      </c>
      <c r="Q13" s="4" t="n">
        <v>0</v>
      </c>
      <c r="R13" s="4" t="n">
        <v>11740.8</v>
      </c>
      <c r="S13" s="2" t="s">
        <v>23</v>
      </c>
      <c r="T13" s="2" t="s">
        <v>24</v>
      </c>
      <c r="U13" s="3" t="n">
        <v>45714</v>
      </c>
    </row>
    <row r="14" customFormat="false" ht="15" hidden="false" customHeight="false" outlineLevel="0" collapsed="false">
      <c r="A14" s="2" t="s">
        <v>48</v>
      </c>
      <c r="B14" s="3" t="n">
        <v>45717</v>
      </c>
      <c r="C14" s="2" t="s">
        <v>49</v>
      </c>
      <c r="D14" s="2" t="n">
        <v>240</v>
      </c>
      <c r="E14" s="4" t="n">
        <v>48.93</v>
      </c>
      <c r="F14" s="4" t="n">
        <v>11743.2</v>
      </c>
      <c r="G14" s="2" t="n">
        <v>5120</v>
      </c>
      <c r="H14" s="2" t="n">
        <v>5767</v>
      </c>
      <c r="I14" s="2" t="n">
        <v>647</v>
      </c>
      <c r="J14" s="4" t="n">
        <v>0.6</v>
      </c>
      <c r="K14" s="4" t="n">
        <v>388.2</v>
      </c>
      <c r="L14" s="2"/>
      <c r="M14" s="4" t="n">
        <v>0</v>
      </c>
      <c r="N14" s="2"/>
      <c r="O14" s="4" t="n">
        <v>0</v>
      </c>
      <c r="P14" s="4" t="n">
        <v>12131.4</v>
      </c>
      <c r="Q14" s="4" t="n">
        <v>0</v>
      </c>
      <c r="R14" s="4" t="n">
        <v>12131.4</v>
      </c>
      <c r="S14" s="2" t="s">
        <v>23</v>
      </c>
      <c r="T14" s="2" t="s">
        <v>24</v>
      </c>
      <c r="U14" s="3" t="n">
        <v>45750</v>
      </c>
    </row>
    <row r="15" customFormat="false" ht="15" hidden="false" customHeight="false" outlineLevel="0" collapsed="false">
      <c r="A15" s="2" t="s">
        <v>50</v>
      </c>
      <c r="B15" s="3" t="n">
        <v>45748</v>
      </c>
      <c r="C15" s="2" t="s">
        <v>51</v>
      </c>
      <c r="D15" s="2" t="n">
        <v>240</v>
      </c>
      <c r="E15" s="4" t="n">
        <v>48.93</v>
      </c>
      <c r="F15" s="4" t="n">
        <v>11743.2</v>
      </c>
      <c r="G15" s="2" t="n">
        <v>5120</v>
      </c>
      <c r="H15" s="2" t="n">
        <v>5857</v>
      </c>
      <c r="I15" s="2" t="n">
        <v>737</v>
      </c>
      <c r="J15" s="4" t="n">
        <v>0.6</v>
      </c>
      <c r="K15" s="4" t="n">
        <v>442.2</v>
      </c>
      <c r="L15" s="2"/>
      <c r="M15" s="4" t="n">
        <v>0</v>
      </c>
      <c r="N15" s="2"/>
      <c r="O15" s="4" t="n">
        <v>0</v>
      </c>
      <c r="P15" s="4" t="n">
        <v>12185.4</v>
      </c>
      <c r="Q15" s="4" t="n">
        <v>0</v>
      </c>
      <c r="R15" s="4" t="n">
        <v>12185.4</v>
      </c>
      <c r="S15" s="2" t="s">
        <v>23</v>
      </c>
      <c r="T15" s="2" t="s">
        <v>24</v>
      </c>
      <c r="U15" s="3" t="n">
        <v>45787</v>
      </c>
    </row>
    <row r="16" customFormat="false" ht="15" hidden="false" customHeight="false" outlineLevel="0" collapsed="false">
      <c r="A16" s="2" t="s">
        <v>52</v>
      </c>
      <c r="B16" s="3" t="n">
        <v>45778</v>
      </c>
      <c r="C16" s="2" t="s">
        <v>53</v>
      </c>
      <c r="D16" s="2" t="n">
        <v>240</v>
      </c>
      <c r="E16" s="4" t="n">
        <v>48.93</v>
      </c>
      <c r="F16" s="4" t="n">
        <v>11743.2</v>
      </c>
      <c r="G16" s="2" t="n">
        <v>5120</v>
      </c>
      <c r="H16" s="2" t="n">
        <v>5930</v>
      </c>
      <c r="I16" s="2" t="n">
        <v>810</v>
      </c>
      <c r="J16" s="4" t="n">
        <v>0.6</v>
      </c>
      <c r="K16" s="4" t="n">
        <v>486</v>
      </c>
      <c r="L16" s="2"/>
      <c r="M16" s="4" t="n">
        <v>0</v>
      </c>
      <c r="N16" s="2"/>
      <c r="O16" s="4" t="n">
        <v>0</v>
      </c>
      <c r="P16" s="4" t="n">
        <v>12229.2</v>
      </c>
      <c r="Q16" s="4" t="n">
        <v>0</v>
      </c>
      <c r="R16" s="4" t="n">
        <v>12229.2</v>
      </c>
      <c r="S16" s="2" t="s">
        <v>23</v>
      </c>
      <c r="T16" s="2" t="s">
        <v>24</v>
      </c>
      <c r="U16" s="3" t="n">
        <v>45803</v>
      </c>
    </row>
    <row r="17" customFormat="false" ht="15" hidden="false" customHeight="false" outlineLevel="0" collapsed="false">
      <c r="A17" s="2" t="s">
        <v>54</v>
      </c>
      <c r="B17" s="3" t="n">
        <v>45809</v>
      </c>
      <c r="C17" s="2" t="s">
        <v>55</v>
      </c>
      <c r="D17" s="2" t="n">
        <v>240</v>
      </c>
      <c r="E17" s="4" t="n">
        <v>48.93</v>
      </c>
      <c r="F17" s="4" t="n">
        <v>11743.2</v>
      </c>
      <c r="G17" s="2" t="n">
        <v>5120</v>
      </c>
      <c r="H17" s="2" t="n">
        <v>6010</v>
      </c>
      <c r="I17" s="2" t="n">
        <v>890</v>
      </c>
      <c r="J17" s="4" t="n">
        <v>0.6</v>
      </c>
      <c r="K17" s="4" t="n">
        <v>534</v>
      </c>
      <c r="L17" s="2"/>
      <c r="M17" s="4" t="n">
        <v>0</v>
      </c>
      <c r="N17" s="2"/>
      <c r="O17" s="4" t="n">
        <v>0</v>
      </c>
      <c r="P17" s="4" t="n">
        <v>12277.2</v>
      </c>
      <c r="Q17" s="4" t="n">
        <v>0</v>
      </c>
      <c r="R17" s="4" t="n">
        <v>12277.2</v>
      </c>
      <c r="S17" s="2" t="s">
        <v>23</v>
      </c>
      <c r="T17" s="2" t="s">
        <v>24</v>
      </c>
      <c r="U17" s="3" t="n">
        <v>45837</v>
      </c>
    </row>
    <row r="18" customFormat="false" ht="15" hidden="false" customHeight="false" outlineLevel="0" collapsed="false">
      <c r="A18" s="2" t="s">
        <v>56</v>
      </c>
      <c r="B18" s="3" t="n">
        <v>45839</v>
      </c>
      <c r="C18" s="2" t="s">
        <v>57</v>
      </c>
      <c r="D18" s="2" t="n">
        <v>240</v>
      </c>
      <c r="E18" s="4" t="n">
        <v>48.93</v>
      </c>
      <c r="F18" s="4" t="n">
        <v>11743.2</v>
      </c>
      <c r="G18" s="2" t="n">
        <v>5120</v>
      </c>
      <c r="H18" s="2" t="n">
        <v>6104</v>
      </c>
      <c r="I18" s="2" t="n">
        <v>984</v>
      </c>
      <c r="J18" s="4" t="n">
        <v>0.6</v>
      </c>
      <c r="K18" s="4" t="n">
        <v>590.4</v>
      </c>
      <c r="L18" s="2"/>
      <c r="M18" s="4" t="n">
        <v>0</v>
      </c>
      <c r="N18" s="2"/>
      <c r="O18" s="4" t="n">
        <v>0</v>
      </c>
      <c r="P18" s="4" t="n">
        <v>12333.6</v>
      </c>
      <c r="Q18" s="4" t="n">
        <v>0</v>
      </c>
      <c r="R18" s="4" t="n">
        <v>12333.6</v>
      </c>
      <c r="S18" s="2" t="s">
        <v>23</v>
      </c>
      <c r="T18" s="2" t="s">
        <v>24</v>
      </c>
      <c r="U18" s="3" t="n">
        <v>45871</v>
      </c>
    </row>
    <row r="19" customFormat="false" ht="15" hidden="false" customHeight="false" outlineLevel="0" collapsed="false">
      <c r="A19" s="2" t="s">
        <v>58</v>
      </c>
      <c r="B19" s="3" t="n">
        <v>45870</v>
      </c>
      <c r="C19" s="2" t="s">
        <v>59</v>
      </c>
      <c r="D19" s="2" t="n">
        <v>240</v>
      </c>
      <c r="E19" s="4" t="n">
        <v>48.93</v>
      </c>
      <c r="F19" s="4" t="n">
        <v>11743.2</v>
      </c>
      <c r="G19" s="2" t="n">
        <v>5120</v>
      </c>
      <c r="H19" s="2" t="n">
        <v>6180</v>
      </c>
      <c r="I19" s="2" t="n">
        <v>1060</v>
      </c>
      <c r="J19" s="4" t="n">
        <v>0.6</v>
      </c>
      <c r="K19" s="4" t="n">
        <v>636</v>
      </c>
      <c r="L19" s="2"/>
      <c r="M19" s="4" t="n">
        <v>0</v>
      </c>
      <c r="N19" s="2"/>
      <c r="O19" s="4" t="n">
        <v>0</v>
      </c>
      <c r="P19" s="4" t="n">
        <v>12379.2</v>
      </c>
      <c r="Q19" s="4" t="n">
        <v>0</v>
      </c>
      <c r="R19" s="4" t="n">
        <v>12379.2</v>
      </c>
      <c r="S19" s="2" t="s">
        <v>23</v>
      </c>
      <c r="T19" s="2" t="s">
        <v>24</v>
      </c>
      <c r="U19" s="3" t="n">
        <v>45909</v>
      </c>
    </row>
    <row r="20" customFormat="false" ht="15" hidden="false" customHeight="false" outlineLevel="0" collapsed="false">
      <c r="A20" s="2" t="s">
        <v>60</v>
      </c>
      <c r="B20" s="3" t="n">
        <v>45901</v>
      </c>
      <c r="C20" s="2" t="s">
        <v>61</v>
      </c>
      <c r="D20" s="2" t="n">
        <v>240</v>
      </c>
      <c r="E20" s="4" t="n">
        <v>48.93</v>
      </c>
      <c r="F20" s="4" t="n">
        <v>11743.2</v>
      </c>
      <c r="G20" s="2" t="n">
        <v>6144</v>
      </c>
      <c r="H20" s="2" t="n">
        <v>6298</v>
      </c>
      <c r="I20" s="2" t="n">
        <v>154</v>
      </c>
      <c r="J20" s="4" t="n">
        <v>0.6</v>
      </c>
      <c r="K20" s="4" t="n">
        <v>92.4</v>
      </c>
      <c r="L20" s="2"/>
      <c r="M20" s="4" t="n">
        <v>0</v>
      </c>
      <c r="N20" s="2"/>
      <c r="O20" s="4" t="n">
        <v>0</v>
      </c>
      <c r="P20" s="4" t="n">
        <v>11835.6</v>
      </c>
      <c r="Q20" s="4" t="n">
        <v>0</v>
      </c>
      <c r="R20" s="4" t="n">
        <v>11835.6</v>
      </c>
      <c r="S20" s="2" t="s">
        <v>23</v>
      </c>
      <c r="T20" s="2" t="s">
        <v>24</v>
      </c>
      <c r="U20" s="3" t="n">
        <v>45928</v>
      </c>
    </row>
    <row r="21" customFormat="false" ht="15" hidden="false" customHeight="false" outlineLevel="0" collapsed="false">
      <c r="A21" s="2" t="s">
        <v>62</v>
      </c>
      <c r="B21" s="3" t="n">
        <v>45931</v>
      </c>
      <c r="C21" s="2" t="s">
        <v>63</v>
      </c>
      <c r="D21" s="2" t="n">
        <v>240</v>
      </c>
      <c r="E21" s="4" t="n">
        <v>48.93</v>
      </c>
      <c r="F21" s="4" t="n">
        <v>11743.2</v>
      </c>
      <c r="G21" s="2" t="n">
        <v>6144</v>
      </c>
      <c r="H21" s="2" t="n">
        <v>6406</v>
      </c>
      <c r="I21" s="2" t="n">
        <v>262</v>
      </c>
      <c r="J21" s="4" t="n">
        <v>0.6</v>
      </c>
      <c r="K21" s="4" t="n">
        <v>157.2</v>
      </c>
      <c r="L21" s="2"/>
      <c r="M21" s="4" t="n">
        <v>0</v>
      </c>
      <c r="N21" s="2"/>
      <c r="O21" s="4" t="n">
        <v>0</v>
      </c>
      <c r="P21" s="4" t="n">
        <v>11900.4</v>
      </c>
      <c r="Q21" s="4" t="n">
        <v>0</v>
      </c>
      <c r="R21" s="4" t="n">
        <v>11900.4</v>
      </c>
      <c r="S21" s="2" t="s">
        <v>23</v>
      </c>
      <c r="T21" s="2" t="s">
        <v>24</v>
      </c>
      <c r="U21" s="3" t="n">
        <v>45960</v>
      </c>
    </row>
    <row r="22" customFormat="false" ht="15" hidden="false" customHeight="false" outlineLevel="0" collapsed="false">
      <c r="A22" s="2" t="s">
        <v>64</v>
      </c>
      <c r="B22" s="3" t="n">
        <v>45962</v>
      </c>
      <c r="C22" s="2" t="s">
        <v>65</v>
      </c>
      <c r="D22" s="2" t="n">
        <v>240</v>
      </c>
      <c r="E22" s="4" t="n">
        <v>48.93</v>
      </c>
      <c r="F22" s="4" t="n">
        <v>11743.2</v>
      </c>
      <c r="G22" s="2" t="n">
        <v>6144</v>
      </c>
      <c r="H22" s="2" t="n">
        <v>6534</v>
      </c>
      <c r="I22" s="2" t="n">
        <v>390</v>
      </c>
      <c r="J22" s="4" t="n">
        <v>0.6</v>
      </c>
      <c r="K22" s="4" t="n">
        <v>234</v>
      </c>
      <c r="L22" s="2"/>
      <c r="M22" s="4" t="n">
        <v>0</v>
      </c>
      <c r="N22" s="2"/>
      <c r="O22" s="4" t="n">
        <v>0</v>
      </c>
      <c r="P22" s="4" t="n">
        <v>11977.2</v>
      </c>
      <c r="Q22" s="4" t="n">
        <v>0</v>
      </c>
      <c r="R22" s="4" t="n">
        <v>11977.2</v>
      </c>
      <c r="S22" s="2" t="s">
        <v>23</v>
      </c>
      <c r="T22" s="2" t="s">
        <v>24</v>
      </c>
      <c r="U22" s="3" t="n">
        <v>45994</v>
      </c>
    </row>
    <row r="23" customFormat="false" ht="15" hidden="false" customHeight="false" outlineLevel="0" collapsed="false">
      <c r="A23" s="2" t="s">
        <v>66</v>
      </c>
      <c r="B23" s="3" t="n">
        <v>45992</v>
      </c>
      <c r="C23" s="2" t="s">
        <v>67</v>
      </c>
      <c r="D23" s="2" t="n">
        <v>240</v>
      </c>
      <c r="E23" s="4" t="n">
        <v>48.93</v>
      </c>
      <c r="F23" s="4" t="n">
        <v>11743.2</v>
      </c>
      <c r="G23" s="2" t="n">
        <v>6144</v>
      </c>
      <c r="H23" s="2" t="n">
        <v>6647</v>
      </c>
      <c r="I23" s="2" t="n">
        <v>503</v>
      </c>
      <c r="J23" s="4" t="n">
        <v>0.6</v>
      </c>
      <c r="K23" s="4" t="n">
        <v>301.8</v>
      </c>
      <c r="L23" s="2"/>
      <c r="M23" s="4" t="n">
        <v>0</v>
      </c>
      <c r="N23" s="2" t="s">
        <v>68</v>
      </c>
      <c r="O23" s="4" t="n">
        <v>-1500</v>
      </c>
      <c r="P23" s="4" t="n">
        <v>10545</v>
      </c>
      <c r="Q23" s="4" t="n">
        <v>0</v>
      </c>
      <c r="R23" s="4" t="n">
        <v>10545</v>
      </c>
      <c r="S23" s="2" t="s">
        <v>23</v>
      </c>
      <c r="T23" s="2" t="s">
        <v>24</v>
      </c>
      <c r="U23" s="3" t="n">
        <v>46016</v>
      </c>
    </row>
    <row r="24" customFormat="false" ht="15" hidden="false" customHeight="false" outlineLevel="0" collapsed="false">
      <c r="A24" s="2" t="s">
        <v>69</v>
      </c>
      <c r="B24" s="3" t="n">
        <v>46023</v>
      </c>
      <c r="C24" s="2" t="s">
        <v>70</v>
      </c>
      <c r="D24" s="2" t="n">
        <v>240</v>
      </c>
      <c r="E24" s="4" t="n">
        <v>48.93</v>
      </c>
      <c r="F24" s="4" t="n">
        <v>11743.2</v>
      </c>
      <c r="G24" s="2" t="n">
        <v>6144</v>
      </c>
      <c r="H24" s="2" t="n">
        <v>6754</v>
      </c>
      <c r="I24" s="2" t="n">
        <v>610</v>
      </c>
      <c r="J24" s="4" t="n">
        <v>0.6</v>
      </c>
      <c r="K24" s="4" t="n">
        <v>366</v>
      </c>
      <c r="L24" s="2"/>
      <c r="M24" s="4" t="n">
        <v>0</v>
      </c>
      <c r="N24" s="2"/>
      <c r="O24" s="4" t="n">
        <v>0</v>
      </c>
      <c r="P24" s="4" t="n">
        <v>12109.2</v>
      </c>
      <c r="Q24" s="4" t="n">
        <v>0</v>
      </c>
      <c r="R24" s="4" t="n">
        <v>12109.2</v>
      </c>
      <c r="S24" s="2" t="s">
        <v>71</v>
      </c>
      <c r="T24" s="2" t="s">
        <v>24</v>
      </c>
      <c r="U24" s="3" t="n">
        <v>46057</v>
      </c>
    </row>
    <row r="25" customFormat="false" ht="15" hidden="false" customHeight="false" outlineLevel="0" collapsed="false">
      <c r="A25" s="2" t="s">
        <v>72</v>
      </c>
      <c r="B25" s="3" t="n">
        <v>46054</v>
      </c>
      <c r="C25" s="2" t="s">
        <v>73</v>
      </c>
      <c r="D25" s="2" t="n">
        <v>240</v>
      </c>
      <c r="E25" s="4" t="n">
        <v>48.93</v>
      </c>
      <c r="F25" s="4" t="n">
        <v>11743.2</v>
      </c>
      <c r="G25" s="2" t="n">
        <v>6144</v>
      </c>
      <c r="H25" s="2" t="n">
        <v>6892</v>
      </c>
      <c r="I25" s="2" t="n">
        <v>748</v>
      </c>
      <c r="J25" s="4" t="n">
        <v>0.6</v>
      </c>
      <c r="K25" s="4" t="n">
        <v>448.8</v>
      </c>
      <c r="L25" s="2"/>
      <c r="M25" s="4" t="n">
        <v>0</v>
      </c>
      <c r="N25" s="2"/>
      <c r="O25" s="4" t="n">
        <v>0</v>
      </c>
      <c r="P25" s="4" t="n">
        <v>12192</v>
      </c>
      <c r="Q25" s="4" t="n">
        <v>0</v>
      </c>
      <c r="R25" s="4" t="n">
        <v>12192</v>
      </c>
      <c r="S25" s="2" t="s">
        <v>71</v>
      </c>
      <c r="T25" s="2" t="s">
        <v>24</v>
      </c>
      <c r="U25" s="3" t="n">
        <v>46088</v>
      </c>
    </row>
    <row r="26" customFormat="false" ht="15" hidden="false" customHeight="false" outlineLevel="0" collapsed="false">
      <c r="A26" s="2" t="s">
        <v>74</v>
      </c>
      <c r="B26" s="3" t="n">
        <v>46082</v>
      </c>
      <c r="C26" s="2" t="s">
        <v>75</v>
      </c>
      <c r="D26" s="2" t="n">
        <v>240</v>
      </c>
      <c r="E26" s="4" t="n">
        <v>50.39</v>
      </c>
      <c r="F26" s="4" t="n">
        <v>12093.6</v>
      </c>
      <c r="G26" s="2" t="n">
        <v>6144</v>
      </c>
      <c r="H26" s="2" t="n">
        <v>6992</v>
      </c>
      <c r="I26" s="2" t="n">
        <v>848</v>
      </c>
      <c r="J26" s="4" t="n">
        <v>0.6</v>
      </c>
      <c r="K26" s="4" t="n">
        <v>508.8</v>
      </c>
      <c r="L26" s="2"/>
      <c r="M26" s="4" t="n">
        <v>0</v>
      </c>
      <c r="N26" s="2"/>
      <c r="O26" s="4" t="n">
        <v>0</v>
      </c>
      <c r="P26" s="4" t="n">
        <v>12602.4</v>
      </c>
      <c r="Q26" s="4" t="n">
        <v>0</v>
      </c>
      <c r="R26" s="4" t="n">
        <v>12602.4</v>
      </c>
      <c r="S26" s="2" t="s">
        <v>71</v>
      </c>
      <c r="T26" s="2" t="s">
        <v>24</v>
      </c>
      <c r="U26" s="3" t="n">
        <v>46123</v>
      </c>
    </row>
    <row r="27" customFormat="false" ht="15" hidden="false" customHeight="false" outlineLevel="0" collapsed="false">
      <c r="A27" s="2" t="s">
        <v>76</v>
      </c>
      <c r="B27" s="3" t="n">
        <v>46113</v>
      </c>
      <c r="C27" s="2" t="s">
        <v>77</v>
      </c>
      <c r="D27" s="2" t="n">
        <v>240</v>
      </c>
      <c r="E27" s="4" t="n">
        <v>50.39</v>
      </c>
      <c r="F27" s="4" t="n">
        <v>12093.6</v>
      </c>
      <c r="G27" s="2" t="n">
        <v>6144</v>
      </c>
      <c r="H27" s="2" t="n">
        <v>7122</v>
      </c>
      <c r="I27" s="2" t="n">
        <v>978</v>
      </c>
      <c r="J27" s="4" t="n">
        <v>0.6</v>
      </c>
      <c r="K27" s="4" t="n">
        <v>586.8</v>
      </c>
      <c r="L27" s="2"/>
      <c r="M27" s="4" t="n">
        <v>0</v>
      </c>
      <c r="N27" s="2"/>
      <c r="O27" s="4" t="n">
        <v>0</v>
      </c>
      <c r="P27" s="4" t="n">
        <v>12680.4</v>
      </c>
      <c r="Q27" s="4" t="n">
        <v>0</v>
      </c>
      <c r="R27" s="4" t="n">
        <v>12680.4</v>
      </c>
      <c r="S27" s="2" t="s">
        <v>71</v>
      </c>
      <c r="T27" s="2" t="s">
        <v>24</v>
      </c>
      <c r="U27" s="3" t="n">
        <v>46147</v>
      </c>
    </row>
    <row r="28" customFormat="false" ht="15" hidden="false" customHeight="false" outlineLevel="0" collapsed="false">
      <c r="A28" s="2" t="s">
        <v>78</v>
      </c>
      <c r="B28" s="3" t="n">
        <v>46143</v>
      </c>
      <c r="C28" s="2" t="s">
        <v>79</v>
      </c>
      <c r="D28" s="2" t="n">
        <v>240</v>
      </c>
      <c r="E28" s="4" t="n">
        <v>50.39</v>
      </c>
      <c r="F28" s="4" t="n">
        <v>12093.6</v>
      </c>
      <c r="G28" s="2" t="n">
        <v>6144</v>
      </c>
      <c r="H28" s="2" t="n">
        <v>7238</v>
      </c>
      <c r="I28" s="2" t="n">
        <v>1094</v>
      </c>
      <c r="J28" s="4" t="n">
        <v>0.6</v>
      </c>
      <c r="K28" s="4" t="n">
        <v>656.4</v>
      </c>
      <c r="L28" s="2"/>
      <c r="M28" s="4" t="n">
        <v>0</v>
      </c>
      <c r="N28" s="2"/>
      <c r="O28" s="4" t="n">
        <v>0</v>
      </c>
      <c r="P28" s="4" t="n">
        <v>12750</v>
      </c>
      <c r="Q28" s="4" t="n">
        <v>0</v>
      </c>
      <c r="R28" s="4" t="n">
        <v>12750</v>
      </c>
      <c r="S28" s="2" t="s">
        <v>71</v>
      </c>
      <c r="T28" s="2" t="s">
        <v>24</v>
      </c>
      <c r="U28" s="3" t="n">
        <v>46174</v>
      </c>
    </row>
    <row r="29" customFormat="false" ht="15" hidden="false" customHeight="false" outlineLevel="0" collapsed="false">
      <c r="A29" s="2" t="s">
        <v>80</v>
      </c>
      <c r="B29" s="3" t="n">
        <v>46174</v>
      </c>
      <c r="C29" s="2" t="s">
        <v>81</v>
      </c>
      <c r="D29" s="2" t="n">
        <v>240</v>
      </c>
      <c r="E29" s="4" t="n">
        <v>50.39</v>
      </c>
      <c r="F29" s="4" t="n">
        <v>12093.6</v>
      </c>
      <c r="G29" s="2" t="n">
        <v>6144</v>
      </c>
      <c r="H29" s="2" t="n">
        <v>7348</v>
      </c>
      <c r="I29" s="2" t="n">
        <v>1204</v>
      </c>
      <c r="J29" s="4" t="n">
        <v>0.6</v>
      </c>
      <c r="K29" s="4" t="n">
        <v>722.4</v>
      </c>
      <c r="L29" s="2"/>
      <c r="M29" s="4" t="n">
        <v>0</v>
      </c>
      <c r="N29" s="2"/>
      <c r="O29" s="4" t="n">
        <v>0</v>
      </c>
      <c r="P29" s="4" t="n">
        <v>12816</v>
      </c>
      <c r="Q29" s="4" t="n">
        <v>0</v>
      </c>
      <c r="R29" s="4" t="n">
        <v>12816</v>
      </c>
      <c r="S29" s="2" t="s">
        <v>71</v>
      </c>
      <c r="T29" s="2" t="s">
        <v>24</v>
      </c>
      <c r="U29" s="3" t="n">
        <v>46206</v>
      </c>
    </row>
    <row r="30" customFormat="false" ht="15" hidden="false" customHeight="false" outlineLevel="0" collapsed="false">
      <c r="A30" s="2" t="s">
        <v>82</v>
      </c>
      <c r="B30" s="3" t="n">
        <v>46204</v>
      </c>
      <c r="C30" s="2" t="s">
        <v>83</v>
      </c>
      <c r="D30" s="2" t="n">
        <v>240</v>
      </c>
      <c r="E30" s="4" t="n">
        <v>50.39</v>
      </c>
      <c r="F30" s="4" t="n">
        <v>12093.6</v>
      </c>
      <c r="G30" s="2" t="n">
        <v>6144</v>
      </c>
      <c r="H30" s="2" t="n">
        <v>7479</v>
      </c>
      <c r="I30" s="2" t="n">
        <v>1335</v>
      </c>
      <c r="J30" s="4" t="n">
        <v>0.6</v>
      </c>
      <c r="K30" s="4" t="n">
        <v>801</v>
      </c>
      <c r="L30" s="2"/>
      <c r="M30" s="4" t="n">
        <v>0</v>
      </c>
      <c r="N30" s="2"/>
      <c r="O30" s="4" t="n">
        <v>0</v>
      </c>
      <c r="P30" s="4" t="n">
        <v>12894.6</v>
      </c>
      <c r="Q30" s="4" t="n">
        <v>0</v>
      </c>
      <c r="R30" s="4" t="n">
        <v>12894.6</v>
      </c>
      <c r="S30" s="2" t="s">
        <v>71</v>
      </c>
      <c r="T30" s="2" t="s">
        <v>24</v>
      </c>
      <c r="U30" s="3" t="n">
        <v>46238</v>
      </c>
    </row>
    <row r="31" customFormat="false" ht="15" hidden="false" customHeight="false" outlineLevel="0" collapsed="false">
      <c r="A31" s="2" t="s">
        <v>84</v>
      </c>
      <c r="B31" s="3" t="n">
        <v>46235</v>
      </c>
      <c r="C31" s="2" t="s">
        <v>85</v>
      </c>
      <c r="D31" s="2" t="n">
        <v>240</v>
      </c>
      <c r="E31" s="4" t="n">
        <v>50.39</v>
      </c>
      <c r="F31" s="4" t="n">
        <v>12093.6</v>
      </c>
      <c r="G31" s="2" t="n">
        <v>6144</v>
      </c>
      <c r="H31" s="2" t="n">
        <v>7596</v>
      </c>
      <c r="I31" s="2" t="n">
        <v>1452</v>
      </c>
      <c r="J31" s="4" t="n">
        <v>0.6</v>
      </c>
      <c r="K31" s="4" t="n">
        <v>871.2</v>
      </c>
      <c r="L31" s="2"/>
      <c r="M31" s="4" t="n">
        <v>0</v>
      </c>
      <c r="N31" s="2"/>
      <c r="O31" s="4" t="n">
        <v>0</v>
      </c>
      <c r="P31" s="4" t="n">
        <v>12964.8</v>
      </c>
      <c r="Q31" s="4" t="n">
        <v>0</v>
      </c>
      <c r="R31" s="4" t="n">
        <v>12964.8</v>
      </c>
      <c r="S31" s="2" t="s">
        <v>71</v>
      </c>
      <c r="T31" s="2" t="s">
        <v>24</v>
      </c>
      <c r="U31" s="3" t="n">
        <v>46265</v>
      </c>
    </row>
  </sheetData>
  <autoFilter ref="A1:U3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6"/>
    <col collapsed="false" customWidth="true" hidden="false" outlineLevel="0" max="7" min="3" style="0" width="16"/>
  </cols>
  <sheetData>
    <row r="1" customFormat="false" ht="15" hidden="false" customHeight="false" outlineLevel="0" collapsed="false">
      <c r="A1" s="5" t="s">
        <v>86</v>
      </c>
      <c r="B1" s="5" t="s">
        <v>87</v>
      </c>
      <c r="C1" s="5" t="s">
        <v>88</v>
      </c>
      <c r="D1" s="5" t="s">
        <v>89</v>
      </c>
      <c r="E1" s="5" t="s">
        <v>90</v>
      </c>
      <c r="F1" s="5" t="s">
        <v>91</v>
      </c>
      <c r="G1" s="5" t="s">
        <v>92</v>
      </c>
    </row>
    <row r="2" customFormat="false" ht="15" hidden="false" customHeight="false" outlineLevel="0" collapsed="false">
      <c r="A2" s="2" t="s">
        <v>93</v>
      </c>
      <c r="B2" s="2" t="s">
        <v>94</v>
      </c>
      <c r="C2" s="6" t="n">
        <f aca="false">SUMIFS(Invoices!F$2:F$31,Invoices!$B$2:$B$31,"&gt;="&amp;DATE(2024,3,1),Invoices!$B$2:$B$31,"&lt;="&amp;DATE(2025,2,28))</f>
        <v>136800</v>
      </c>
      <c r="D2" s="6" t="n">
        <f aca="false">SUMIFS(Invoices!K$2:K$31,Invoices!$B$2:$B$31,"&gt;="&amp;DATE(2024,3,1),Invoices!$B$2:$B$31,"&lt;="&amp;DATE(2025,2,28))</f>
        <v>1290</v>
      </c>
      <c r="E2" s="6" t="n">
        <f aca="false">SUMIFS(Invoices!M$2:M$31,Invoices!$B$2:$B$31,"&gt;="&amp;DATE(2024,3,1),Invoices!$B$2:$B$31,"&lt;="&amp;DATE(2025,2,28))</f>
        <v>9800</v>
      </c>
      <c r="F2" s="6" t="n">
        <f aca="false">SUMIFS(Invoices!O$2:O$31,Invoices!$B$2:$B$31,"&gt;="&amp;DATE(2024,3,1),Invoices!$B$2:$B$31,"&lt;="&amp;DATE(2025,2,28))</f>
        <v>0</v>
      </c>
      <c r="G2" s="6" t="n">
        <f aca="false">SUMIFS(Invoices!R$2:R$31,Invoices!$B$2:$B$31,"&gt;="&amp;DATE(2024,3,1),Invoices!$B$2:$B$31,"&lt;="&amp;DATE(2025,2,28))</f>
        <v>147890</v>
      </c>
    </row>
    <row r="3" customFormat="false" ht="15" hidden="false" customHeight="false" outlineLevel="0" collapsed="false">
      <c r="A3" s="2" t="s">
        <v>95</v>
      </c>
      <c r="B3" s="2" t="s">
        <v>96</v>
      </c>
      <c r="C3" s="6" t="n">
        <f aca="false">SUMIFS(Invoices!F$2:F$31,Invoices!$B$2:$B$31,"&gt;="&amp;DATE(2025,3,1),Invoices!$B$2:$B$31,"&lt;="&amp;DATE(2026,2,28))</f>
        <v>140918.4</v>
      </c>
      <c r="D3" s="6" t="n">
        <f aca="false">SUMIFS(Invoices!K$2:K$31,Invoices!$B$2:$B$31,"&gt;="&amp;DATE(2025,3,1),Invoices!$B$2:$B$31,"&lt;="&amp;DATE(2026,2,28))</f>
        <v>4677</v>
      </c>
      <c r="E3" s="6" t="n">
        <f aca="false">SUMIFS(Invoices!M$2:M$31,Invoices!$B$2:$B$31,"&gt;="&amp;DATE(2025,3,1),Invoices!$B$2:$B$31,"&lt;="&amp;DATE(2026,2,28))</f>
        <v>0</v>
      </c>
      <c r="F3" s="6" t="n">
        <f aca="false">SUMIFS(Invoices!O$2:O$31,Invoices!$B$2:$B$31,"&gt;="&amp;DATE(2025,3,1),Invoices!$B$2:$B$31,"&lt;="&amp;DATE(2026,2,28))</f>
        <v>-1500</v>
      </c>
      <c r="G3" s="6" t="n">
        <f aca="false">SUMIFS(Invoices!R$2:R$31,Invoices!$B$2:$B$31,"&gt;="&amp;DATE(2025,3,1),Invoices!$B$2:$B$31,"&lt;="&amp;DATE(2026,2,28))</f>
        <v>144095.4</v>
      </c>
    </row>
    <row r="4" customFormat="false" ht="15" hidden="false" customHeight="false" outlineLevel="0" collapsed="false">
      <c r="A4" s="2" t="s">
        <v>97</v>
      </c>
      <c r="B4" s="2" t="s">
        <v>98</v>
      </c>
      <c r="C4" s="6" t="n">
        <f aca="false">SUMIFS(Invoices!F$2:F$31,Invoices!$B$2:$B$31,"&gt;="&amp;DATE(2026,3,1),Invoices!$B$2:$B$31,"&lt;="&amp;DATE(2026,8,31))</f>
        <v>72561.6</v>
      </c>
      <c r="D4" s="6" t="n">
        <f aca="false">SUMIFS(Invoices!K$2:K$31,Invoices!$B$2:$B$31,"&gt;="&amp;DATE(2026,3,1),Invoices!$B$2:$B$31,"&lt;="&amp;DATE(2026,8,31))</f>
        <v>4146.6</v>
      </c>
      <c r="E4" s="6" t="n">
        <f aca="false">SUMIFS(Invoices!M$2:M$31,Invoices!$B$2:$B$31,"&gt;="&amp;DATE(2026,3,1),Invoices!$B$2:$B$31,"&lt;="&amp;DATE(2026,8,31))</f>
        <v>0</v>
      </c>
      <c r="F4" s="6" t="n">
        <f aca="false">SUMIFS(Invoices!O$2:O$31,Invoices!$B$2:$B$31,"&gt;="&amp;DATE(2026,3,1),Invoices!$B$2:$B$31,"&lt;="&amp;DATE(2026,8,31))</f>
        <v>0</v>
      </c>
      <c r="G4" s="6" t="n">
        <f aca="false">SUMIFS(Invoices!R$2:R$31,Invoices!$B$2:$B$31,"&gt;="&amp;DATE(2026,3,1),Invoices!$B$2:$B$31,"&lt;="&amp;DATE(2026,8,31))</f>
        <v>76708.2</v>
      </c>
    </row>
    <row r="5" customFormat="false" ht="15" hidden="false" customHeight="false" outlineLevel="0" collapsed="false">
      <c r="A5" s="2" t="s">
        <v>99</v>
      </c>
      <c r="B5" s="2"/>
      <c r="C5" s="6" t="n">
        <f aca="false">SUM(C2:C4)</f>
        <v>350280</v>
      </c>
      <c r="D5" s="6" t="n">
        <f aca="false">SUM(D2:D4)</f>
        <v>10113.6</v>
      </c>
      <c r="E5" s="6" t="n">
        <f aca="false">SUM(E2:E4)</f>
        <v>9800</v>
      </c>
      <c r="F5" s="6" t="n">
        <f aca="false">SUM(F2:F4)</f>
        <v>-1500</v>
      </c>
      <c r="G5" s="6" t="n">
        <f aca="false">SUM(G2:G4)</f>
        <v>368693.6</v>
      </c>
    </row>
    <row r="6" customFormat="false" ht="15" hidden="false" customHeight="false" outlineLevel="0" collapsed="false">
      <c r="A6" s="2"/>
      <c r="B6" s="2"/>
      <c r="C6" s="6"/>
      <c r="D6" s="6"/>
      <c r="E6" s="6"/>
      <c r="F6" s="6"/>
      <c r="G6" s="6"/>
    </row>
    <row r="7" customFormat="false" ht="15" hidden="false" customHeight="false" outlineLevel="0" collapsed="false">
      <c r="A7" s="2" t="s">
        <v>100</v>
      </c>
      <c r="B7" s="2"/>
      <c r="C7" s="6" t="n">
        <f aca="false">Invoices!F31</f>
        <v>12093.6</v>
      </c>
      <c r="D7" s="6" t="n">
        <f aca="false">Invoices!K31</f>
        <v>871.2</v>
      </c>
      <c r="E7" s="6"/>
      <c r="F7" s="6"/>
      <c r="G7" s="6" t="n">
        <f aca="false">Invoices!R31</f>
        <v>12964.8</v>
      </c>
    </row>
    <row r="8" customFormat="false" ht="15" hidden="false" customHeight="false" outlineLevel="0" collapsed="false">
      <c r="A8" s="2" t="s">
        <v>101</v>
      </c>
      <c r="B8" s="2"/>
      <c r="C8" s="2" t="n">
        <f aca="false">Invoices!H31</f>
        <v>7596</v>
      </c>
      <c r="D8" s="2" t="n">
        <f aca="false">Invoices!G31</f>
        <v>6144</v>
      </c>
      <c r="E8" s="2"/>
      <c r="F8" s="2"/>
      <c r="G8" s="2"/>
    </row>
    <row r="9" customFormat="false" ht="15" hidden="false" customHeight="false" outlineLevel="0" collapsed="false">
      <c r="A9" s="2" t="s">
        <v>102</v>
      </c>
      <c r="B9" s="2"/>
      <c r="C9" s="7" t="n">
        <f aca="false">IFERROR(D3/D2-1,"")</f>
        <v>2.62558139534884</v>
      </c>
      <c r="D9" s="2"/>
      <c r="E9" s="2"/>
      <c r="F9" s="2"/>
      <c r="G9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10"/>
  </cols>
  <sheetData>
    <row r="1" customFormat="false" ht="15" hidden="false" customHeight="false" outlineLevel="0" collapsed="false">
      <c r="A1" s="5" t="s">
        <v>103</v>
      </c>
      <c r="B1" s="5" t="s">
        <v>104</v>
      </c>
    </row>
    <row r="2" customFormat="false" ht="23.85" hidden="false" customHeight="false" outlineLevel="0" collapsed="false">
      <c r="A2" s="8" t="s">
        <v>105</v>
      </c>
      <c r="B2" s="9" t="s">
        <v>106</v>
      </c>
    </row>
    <row r="3" customFormat="false" ht="15" hidden="false" customHeight="false" outlineLevel="0" collapsed="false">
      <c r="A3" s="8" t="s">
        <v>107</v>
      </c>
      <c r="B3" s="9" t="s">
        <v>108</v>
      </c>
    </row>
    <row r="4" customFormat="false" ht="15" hidden="false" customHeight="false" outlineLevel="0" collapsed="false">
      <c r="A4" s="8" t="s">
        <v>109</v>
      </c>
      <c r="B4" s="9" t="s">
        <v>110</v>
      </c>
    </row>
    <row r="5" customFormat="false" ht="15" hidden="false" customHeight="false" outlineLevel="0" collapsed="false">
      <c r="A5" s="8" t="s">
        <v>90</v>
      </c>
      <c r="B5" s="9" t="s">
        <v>111</v>
      </c>
    </row>
    <row r="6" customFormat="false" ht="23.85" hidden="false" customHeight="false" outlineLevel="0" collapsed="false">
      <c r="A6" s="8" t="s">
        <v>91</v>
      </c>
      <c r="B6" s="9" t="s">
        <v>112</v>
      </c>
    </row>
    <row r="7" customFormat="false" ht="15" hidden="false" customHeight="false" outlineLevel="0" collapsed="false">
      <c r="A7" s="8" t="s">
        <v>113</v>
      </c>
      <c r="B7" s="9" t="s">
        <v>114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2026-09-07T19:48:32Z</dcterms:created>
  <dc:creator>Vandelay Accounts Payable</dc:creator>
  <dc:description/>
  <dc:language>en-US</dc:language>
  <cp:lastModifiedBy/>
  <dcterms:modified xsi:type="dcterms:W3CDTF">2026-09-07T19:48:32Z</dcterms:modified>
  <cp:revision>0</cp:revision>
  <dc:subject/>
  <dc:title>Vendor invoice export, Archstone Software Inc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