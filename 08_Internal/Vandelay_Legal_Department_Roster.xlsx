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" sheetId="1" state="visible" r:id="rId3"/>
    <sheet name="Taxonomy" sheetId="2" state="visible" r:id="rId4"/>
    <sheet name="Summary" sheetId="3" state="visible" r:id="rId5"/>
    <sheet name="About" sheetId="4" state="visible" r:id="rId6"/>
  </sheets>
  <definedNames>
    <definedName function="false" hidden="true" localSheetId="0" name="_xlnm._FilterDatabase" vbProcedure="false">Roster!$A$1:$U$231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<sst xmlns="http://schemas.openxmlformats.org/spreadsheetml/2006/main" count="3732" uniqueCount="847">
  <si>
    <t xml:space="preserve">employee_id</t>
  </si>
  <si>
    <t xml:space="preserve">first_name</t>
  </si>
  <si>
    <t xml:space="preserve">last_name</t>
  </si>
  <si>
    <t xml:space="preserve">email</t>
  </si>
  <si>
    <t xml:space="preserve">title</t>
  </si>
  <si>
    <t xml:space="preserve">level_code</t>
  </si>
  <si>
    <t xml:space="preserve">level_band</t>
  </si>
  <si>
    <t xml:space="preserve">practice_group</t>
  </si>
  <si>
    <t xml:space="preserve">sub_team</t>
  </si>
  <si>
    <t xml:space="preserve">office_city</t>
  </si>
  <si>
    <t xml:space="preserve">country</t>
  </si>
  <si>
    <t xml:space="preserve">region</t>
  </si>
  <si>
    <t xml:space="preserve">office_type</t>
  </si>
  <si>
    <t xml:space="preserve">work_model</t>
  </si>
  <si>
    <t xml:space="preserve">hire_date</t>
  </si>
  <si>
    <t xml:space="preserve">tenure_years</t>
  </si>
  <si>
    <t xml:space="preserve">joined_after_relaunch</t>
  </si>
  <si>
    <t xml:space="preserve">manager_id</t>
  </si>
  <si>
    <t xml:space="preserve">manager_name</t>
  </si>
  <si>
    <t xml:space="preserve">dms_role</t>
  </si>
  <si>
    <t xml:space="preserve">cohort_key</t>
  </si>
  <si>
    <t xml:space="preserve">VL-1001</t>
  </si>
  <si>
    <t xml:space="preserve">Simon</t>
  </si>
  <si>
    <t xml:space="preserve">Rasmussen</t>
  </si>
  <si>
    <t xml:space="preserve">simon.rasmussen@vandelay.example</t>
  </si>
  <si>
    <t xml:space="preserve">General Counsel</t>
  </si>
  <si>
    <t xml:space="preserve">L1</t>
  </si>
  <si>
    <t xml:space="preserve">Lawyer - Leadership</t>
  </si>
  <si>
    <t xml:space="preserve">Office of the General Counsel</t>
  </si>
  <si>
    <t xml:space="preserve">New York</t>
  </si>
  <si>
    <t xml:space="preserve">United States</t>
  </si>
  <si>
    <t xml:space="preserve">Americas - US</t>
  </si>
  <si>
    <t xml:space="preserve">HQ</t>
  </si>
  <si>
    <t xml:space="preserve">Hybrid</t>
  </si>
  <si>
    <t xml:space="preserve">Standard</t>
  </si>
  <si>
    <t xml:space="preserve">VL-1216</t>
  </si>
  <si>
    <t xml:space="preserve">Owen</t>
  </si>
  <si>
    <t xml:space="preserve">Whitfield</t>
  </si>
  <si>
    <t xml:space="preserve">owen.whitfield@vandelay.example</t>
  </si>
  <si>
    <t xml:space="preserve">Executive Assistant</t>
  </si>
  <si>
    <t xml:space="preserve">EA</t>
  </si>
  <si>
    <t xml:space="preserve">Executive Support</t>
  </si>
  <si>
    <t xml:space="preserve">Office</t>
  </si>
  <si>
    <t xml:space="preserve">VL-1217</t>
  </si>
  <si>
    <t xml:space="preserve">Ruth</t>
  </si>
  <si>
    <t xml:space="preserve">Osman</t>
  </si>
  <si>
    <t xml:space="preserve">ruth.osman@vandelay.example</t>
  </si>
  <si>
    <t xml:space="preserve">VL-1002</t>
  </si>
  <si>
    <t xml:space="preserve">Aisha</t>
  </si>
  <si>
    <t xml:space="preserve">Villanueva</t>
  </si>
  <si>
    <t xml:space="preserve">aisha.villanueva@vandelay.example</t>
  </si>
  <si>
    <t xml:space="preserve">Deputy General Counsel, Commercial &amp; Transactions</t>
  </si>
  <si>
    <t xml:space="preserve">L2</t>
  </si>
  <si>
    <t xml:space="preserve">Commercial &amp; Transactions</t>
  </si>
  <si>
    <t xml:space="preserve">VL-1010</t>
  </si>
  <si>
    <t xml:space="preserve">Solveig</t>
  </si>
  <si>
    <t xml:space="preserve">Ramanathan</t>
  </si>
  <si>
    <t xml:space="preserve">solveig.ramanathan@vandelay.example</t>
  </si>
  <si>
    <t xml:space="preserve">Attorney</t>
  </si>
  <si>
    <t xml:space="preserve">L5</t>
  </si>
  <si>
    <t xml:space="preserve">Lawyer - Junior</t>
  </si>
  <si>
    <t xml:space="preserve">London</t>
  </si>
  <si>
    <t xml:space="preserve">United Kingdom</t>
  </si>
  <si>
    <t xml:space="preserve">EMEA</t>
  </si>
  <si>
    <t xml:space="preserve">International office</t>
  </si>
  <si>
    <t xml:space="preserve">VL-1011</t>
  </si>
  <si>
    <t xml:space="preserve">George</t>
  </si>
  <si>
    <t xml:space="preserve">Byrne</t>
  </si>
  <si>
    <t xml:space="preserve">george.byrne@vandelay.example</t>
  </si>
  <si>
    <t xml:space="preserve">VL-1012</t>
  </si>
  <si>
    <t xml:space="preserve">Zainab</t>
  </si>
  <si>
    <t xml:space="preserve">zainab.rasmussen@vandelay.example</t>
  </si>
  <si>
    <t xml:space="preserve">Counsel</t>
  </si>
  <si>
    <t xml:space="preserve">L4</t>
  </si>
  <si>
    <t xml:space="preserve">Lawyer - Mid</t>
  </si>
  <si>
    <t xml:space="preserve">Singapore</t>
  </si>
  <si>
    <t xml:space="preserve">APAC</t>
  </si>
  <si>
    <t xml:space="preserve">VL-1013</t>
  </si>
  <si>
    <t xml:space="preserve">Rohan</t>
  </si>
  <si>
    <t xml:space="preserve">Okafor</t>
  </si>
  <si>
    <t xml:space="preserve">rohan.okafor@vandelay.example</t>
  </si>
  <si>
    <t xml:space="preserve">VL-1014</t>
  </si>
  <si>
    <t xml:space="preserve">Hao</t>
  </si>
  <si>
    <t xml:space="preserve">Krishnan</t>
  </si>
  <si>
    <t xml:space="preserve">hao.krishnan@vandelay.example</t>
  </si>
  <si>
    <t xml:space="preserve">VL-1015</t>
  </si>
  <si>
    <t xml:space="preserve">Bram</t>
  </si>
  <si>
    <t xml:space="preserve">Contreras</t>
  </si>
  <si>
    <t xml:space="preserve">bram.contreras@vandelay.example</t>
  </si>
  <si>
    <t xml:space="preserve">Atlanta</t>
  </si>
  <si>
    <t xml:space="preserve">Regional office</t>
  </si>
  <si>
    <t xml:space="preserve">VL-1016</t>
  </si>
  <si>
    <t xml:space="preserve">Daniel</t>
  </si>
  <si>
    <t xml:space="preserve">Fontaine</t>
  </si>
  <si>
    <t xml:space="preserve">daniel.fontaine@vandelay.example</t>
  </si>
  <si>
    <t xml:space="preserve">Houston</t>
  </si>
  <si>
    <t xml:space="preserve">VL-1017</t>
  </si>
  <si>
    <t xml:space="preserve">Lorenzo</t>
  </si>
  <si>
    <t xml:space="preserve">Alvarado</t>
  </si>
  <si>
    <t xml:space="preserve">lorenzo.alvarado@vandelay.example</t>
  </si>
  <si>
    <t xml:space="preserve">VL-1018</t>
  </si>
  <si>
    <t xml:space="preserve">Devin</t>
  </si>
  <si>
    <t xml:space="preserve">Okoro</t>
  </si>
  <si>
    <t xml:space="preserve">devin.okoro@vandelay.example</t>
  </si>
  <si>
    <t xml:space="preserve">VL-1019</t>
  </si>
  <si>
    <t xml:space="preserve">Miles</t>
  </si>
  <si>
    <t xml:space="preserve">Castillo</t>
  </si>
  <si>
    <t xml:space="preserve">miles.castillo@vandelay.example</t>
  </si>
  <si>
    <t xml:space="preserve">VL-1020</t>
  </si>
  <si>
    <t xml:space="preserve">Wentworth</t>
  </si>
  <si>
    <t xml:space="preserve">miles.wentworth@vandelay.example</t>
  </si>
  <si>
    <t xml:space="preserve">Chicago</t>
  </si>
  <si>
    <t xml:space="preserve">VL-1021</t>
  </si>
  <si>
    <t xml:space="preserve">Reuben</t>
  </si>
  <si>
    <t xml:space="preserve">Kowalczyk</t>
  </si>
  <si>
    <t xml:space="preserve">reuben.kowalczyk@vandelay.example</t>
  </si>
  <si>
    <t xml:space="preserve">Senior Counsel</t>
  </si>
  <si>
    <t xml:space="preserve">L3</t>
  </si>
  <si>
    <t xml:space="preserve">Lawyer - Senior</t>
  </si>
  <si>
    <t xml:space="preserve">VL-1022</t>
  </si>
  <si>
    <t xml:space="preserve">Kwame</t>
  </si>
  <si>
    <t xml:space="preserve">Baptiste</t>
  </si>
  <si>
    <t xml:space="preserve">kwame.baptiste@vandelay.example</t>
  </si>
  <si>
    <t xml:space="preserve">San Francisco</t>
  </si>
  <si>
    <t xml:space="preserve">Remote</t>
  </si>
  <si>
    <t xml:space="preserve">VL-1023</t>
  </si>
  <si>
    <t xml:space="preserve">Kenji</t>
  </si>
  <si>
    <t xml:space="preserve">Karlsson</t>
  </si>
  <si>
    <t xml:space="preserve">kenji.karlsson@vandelay.example</t>
  </si>
  <si>
    <t xml:space="preserve">VL-1024</t>
  </si>
  <si>
    <t xml:space="preserve">Selin</t>
  </si>
  <si>
    <t xml:space="preserve">Nakamura</t>
  </si>
  <si>
    <t xml:space="preserve">selin.nakamura@vandelay.example</t>
  </si>
  <si>
    <t xml:space="preserve">VL-1025</t>
  </si>
  <si>
    <t xml:space="preserve">Sienna</t>
  </si>
  <si>
    <t xml:space="preserve">Pereira</t>
  </si>
  <si>
    <t xml:space="preserve">sienna.pereira@vandelay.example</t>
  </si>
  <si>
    <t xml:space="preserve">Los Angeles</t>
  </si>
  <si>
    <t xml:space="preserve">VL-1026</t>
  </si>
  <si>
    <t xml:space="preserve">Duarte</t>
  </si>
  <si>
    <t xml:space="preserve">kwame.duarte@vandelay.example</t>
  </si>
  <si>
    <t xml:space="preserve">VL-1027</t>
  </si>
  <si>
    <t xml:space="preserve">Ghosh</t>
  </si>
  <si>
    <t xml:space="preserve">bram.ghosh@vandelay.example</t>
  </si>
  <si>
    <t xml:space="preserve">VL-1028</t>
  </si>
  <si>
    <t xml:space="preserve">Renata</t>
  </si>
  <si>
    <t xml:space="preserve">Iyer</t>
  </si>
  <si>
    <t xml:space="preserve">renata.iyer@vandelay.example</t>
  </si>
  <si>
    <t xml:space="preserve">Washington, DC</t>
  </si>
  <si>
    <t xml:space="preserve">VL-1029</t>
  </si>
  <si>
    <t xml:space="preserve">Samuel</t>
  </si>
  <si>
    <t xml:space="preserve">Novak</t>
  </si>
  <si>
    <t xml:space="preserve">samuel.novak@vandelay.example</t>
  </si>
  <si>
    <t xml:space="preserve">VL-1030</t>
  </si>
  <si>
    <t xml:space="preserve">Camille</t>
  </si>
  <si>
    <t xml:space="preserve">Diallo</t>
  </si>
  <si>
    <t xml:space="preserve">camille.diallo@vandelay.example</t>
  </si>
  <si>
    <t xml:space="preserve">VL-1031</t>
  </si>
  <si>
    <t xml:space="preserve">Henry</t>
  </si>
  <si>
    <t xml:space="preserve">Tremblay</t>
  </si>
  <si>
    <t xml:space="preserve">henry.tremblay@vandelay.example</t>
  </si>
  <si>
    <t xml:space="preserve">VL-1032</t>
  </si>
  <si>
    <t xml:space="preserve">Delgado</t>
  </si>
  <si>
    <t xml:space="preserve">kwame.delgado@vandelay.example</t>
  </si>
  <si>
    <t xml:space="preserve">VL-1033</t>
  </si>
  <si>
    <t xml:space="preserve">Tamar</t>
  </si>
  <si>
    <t xml:space="preserve">tamar.fontaine@vandelay.example</t>
  </si>
  <si>
    <t xml:space="preserve">VL-1034</t>
  </si>
  <si>
    <t xml:space="preserve">Victor</t>
  </si>
  <si>
    <t xml:space="preserve">Kessler</t>
  </si>
  <si>
    <t xml:space="preserve">victor.kessler@vandelay.example</t>
  </si>
  <si>
    <t xml:space="preserve">VL-1035</t>
  </si>
  <si>
    <t xml:space="preserve">Mbeki</t>
  </si>
  <si>
    <t xml:space="preserve">miles.mbeki@vandelay.example</t>
  </si>
  <si>
    <t xml:space="preserve">VL-1036</t>
  </si>
  <si>
    <t xml:space="preserve">simon.karlsson@vandelay.example</t>
  </si>
  <si>
    <t xml:space="preserve">VL-1037</t>
  </si>
  <si>
    <t xml:space="preserve">Nathan</t>
  </si>
  <si>
    <t xml:space="preserve">nathan.novak@vandelay.example</t>
  </si>
  <si>
    <t xml:space="preserve">VL-1038</t>
  </si>
  <si>
    <t xml:space="preserve">Nia</t>
  </si>
  <si>
    <t xml:space="preserve">Rutherford</t>
  </si>
  <si>
    <t xml:space="preserve">nia.rutherford@vandelay.example</t>
  </si>
  <si>
    <t xml:space="preserve">VL-1039</t>
  </si>
  <si>
    <t xml:space="preserve">Ferrer</t>
  </si>
  <si>
    <t xml:space="preserve">ruth.ferrer@vandelay.example</t>
  </si>
  <si>
    <t xml:space="preserve">VL-1040</t>
  </si>
  <si>
    <t xml:space="preserve">Cormac</t>
  </si>
  <si>
    <t xml:space="preserve">Abubakar</t>
  </si>
  <si>
    <t xml:space="preserve">cormac.abubakar@vandelay.example</t>
  </si>
  <si>
    <t xml:space="preserve">VL-1150</t>
  </si>
  <si>
    <t xml:space="preserve">Yara</t>
  </si>
  <si>
    <t xml:space="preserve">Oduya</t>
  </si>
  <si>
    <t xml:space="preserve">yara.oduya@vandelay.example</t>
  </si>
  <si>
    <t xml:space="preserve">Paralegal</t>
  </si>
  <si>
    <t xml:space="preserve">P2</t>
  </si>
  <si>
    <t xml:space="preserve">Paraprofessional</t>
  </si>
  <si>
    <t xml:space="preserve">Paralegals</t>
  </si>
  <si>
    <t xml:space="preserve">VL-1136</t>
  </si>
  <si>
    <t xml:space="preserve">VL-1151</t>
  </si>
  <si>
    <t xml:space="preserve">Kavya</t>
  </si>
  <si>
    <t xml:space="preserve">Sinclair</t>
  </si>
  <si>
    <t xml:space="preserve">kavya.sinclair@vandelay.example</t>
  </si>
  <si>
    <t xml:space="preserve">VL-1152</t>
  </si>
  <si>
    <t xml:space="preserve">Ingrid</t>
  </si>
  <si>
    <t xml:space="preserve">Larsson</t>
  </si>
  <si>
    <t xml:space="preserve">ingrid.larsson@vandelay.example</t>
  </si>
  <si>
    <t xml:space="preserve">VL-1153</t>
  </si>
  <si>
    <t xml:space="preserve">Maya</t>
  </si>
  <si>
    <t xml:space="preserve">Adler</t>
  </si>
  <si>
    <t xml:space="preserve">maya.adler@vandelay.example</t>
  </si>
  <si>
    <t xml:space="preserve">VL-1154</t>
  </si>
  <si>
    <t xml:space="preserve">Declan</t>
  </si>
  <si>
    <t xml:space="preserve">Hargreaves</t>
  </si>
  <si>
    <t xml:space="preserve">declan.hargreaves@vandelay.example</t>
  </si>
  <si>
    <t xml:space="preserve">VL-1164</t>
  </si>
  <si>
    <t xml:space="preserve">Ellison</t>
  </si>
  <si>
    <t xml:space="preserve">daniel.ellison@vandelay.example</t>
  </si>
  <si>
    <t xml:space="preserve">Contracts Manager</t>
  </si>
  <si>
    <t xml:space="preserve">P1</t>
  </si>
  <si>
    <t xml:space="preserve">Paraprofessional - Lead</t>
  </si>
  <si>
    <t xml:space="preserve">Contracts</t>
  </si>
  <si>
    <t xml:space="preserve">VL-1165</t>
  </si>
  <si>
    <t xml:space="preserve">Marcus</t>
  </si>
  <si>
    <t xml:space="preserve">Navarro</t>
  </si>
  <si>
    <t xml:space="preserve">marcus.navarro@vandelay.example</t>
  </si>
  <si>
    <t xml:space="preserve">Senior Contract Analyst</t>
  </si>
  <si>
    <t xml:space="preserve">VL-1166</t>
  </si>
  <si>
    <t xml:space="preserve">Mei</t>
  </si>
  <si>
    <t xml:space="preserve">mei.rasmussen@vandelay.example</t>
  </si>
  <si>
    <t xml:space="preserve">VL-1167</t>
  </si>
  <si>
    <t xml:space="preserve">Leo</t>
  </si>
  <si>
    <t xml:space="preserve">leo.mbeki@vandelay.example</t>
  </si>
  <si>
    <t xml:space="preserve">VL-1168</t>
  </si>
  <si>
    <t xml:space="preserve">Benedict</t>
  </si>
  <si>
    <t xml:space="preserve">Fairbanks</t>
  </si>
  <si>
    <t xml:space="preserve">benedict.fairbanks@vandelay.example</t>
  </si>
  <si>
    <t xml:space="preserve">VL-1169</t>
  </si>
  <si>
    <t xml:space="preserve">Marcel</t>
  </si>
  <si>
    <t xml:space="preserve">Obi</t>
  </si>
  <si>
    <t xml:space="preserve">marcel.obi@vandelay.example</t>
  </si>
  <si>
    <t xml:space="preserve">Contract Analyst</t>
  </si>
  <si>
    <t xml:space="preserve">VL-1170</t>
  </si>
  <si>
    <t xml:space="preserve">Achebe</t>
  </si>
  <si>
    <t xml:space="preserve">kenji.achebe@vandelay.example</t>
  </si>
  <si>
    <t xml:space="preserve">VL-1171</t>
  </si>
  <si>
    <t xml:space="preserve">Okonkwo</t>
  </si>
  <si>
    <t xml:space="preserve">sienna.okonkwo@vandelay.example</t>
  </si>
  <si>
    <t xml:space="preserve">VL-1172</t>
  </si>
  <si>
    <t xml:space="preserve">Nwosu</t>
  </si>
  <si>
    <t xml:space="preserve">owen.nwosu@vandelay.example</t>
  </si>
  <si>
    <t xml:space="preserve">VL-1173</t>
  </si>
  <si>
    <t xml:space="preserve">Adeyemi</t>
  </si>
  <si>
    <t xml:space="preserve">miles.adeyemi@vandelay.example</t>
  </si>
  <si>
    <t xml:space="preserve">VL-1174</t>
  </si>
  <si>
    <t xml:space="preserve">Arjun</t>
  </si>
  <si>
    <t xml:space="preserve">arjun.okafor@vandelay.example</t>
  </si>
  <si>
    <t xml:space="preserve">VL-1175</t>
  </si>
  <si>
    <t xml:space="preserve">kavya.alvarado@vandelay.example</t>
  </si>
  <si>
    <t xml:space="preserve">VL-1176</t>
  </si>
  <si>
    <t xml:space="preserve">Tariq</t>
  </si>
  <si>
    <t xml:space="preserve">Bergstrom</t>
  </si>
  <si>
    <t xml:space="preserve">tariq.bergstrom@vandelay.example</t>
  </si>
  <si>
    <t xml:space="preserve">VL-1218</t>
  </si>
  <si>
    <t xml:space="preserve">kenji.diallo@vandelay.example</t>
  </si>
  <si>
    <t xml:space="preserve">VL-1229</t>
  </si>
  <si>
    <t xml:space="preserve">Oliver</t>
  </si>
  <si>
    <t xml:space="preserve">oliver.okafor@vandelay.example</t>
  </si>
  <si>
    <t xml:space="preserve">VL-1230</t>
  </si>
  <si>
    <t xml:space="preserve">Carvalho</t>
  </si>
  <si>
    <t xml:space="preserve">daniel.carvalho@vandelay.example</t>
  </si>
  <si>
    <t xml:space="preserve">VL-1003</t>
  </si>
  <si>
    <t xml:space="preserve">Ines</t>
  </si>
  <si>
    <t xml:space="preserve">ines.duarte@vandelay.example</t>
  </si>
  <si>
    <t xml:space="preserve">Deputy General Counsel, Litigation &amp; Disputes</t>
  </si>
  <si>
    <t xml:space="preserve">Litigation &amp; Disputes</t>
  </si>
  <si>
    <t xml:space="preserve">VL-1041</t>
  </si>
  <si>
    <t xml:space="preserve">reuben.okonkwo@vandelay.example</t>
  </si>
  <si>
    <t xml:space="preserve">VL-1042</t>
  </si>
  <si>
    <t xml:space="preserve">Ezra</t>
  </si>
  <si>
    <t xml:space="preserve">Molnar</t>
  </si>
  <si>
    <t xml:space="preserve">ezra.molnar@vandelay.example</t>
  </si>
  <si>
    <t xml:space="preserve">VL-1043</t>
  </si>
  <si>
    <t xml:space="preserve">Idris</t>
  </si>
  <si>
    <t xml:space="preserve">idris.kessler@vandelay.example</t>
  </si>
  <si>
    <t xml:space="preserve">VL-1044</t>
  </si>
  <si>
    <t xml:space="preserve">Imani</t>
  </si>
  <si>
    <t xml:space="preserve">Ndlovu</t>
  </si>
  <si>
    <t xml:space="preserve">imani.ndlovu@vandelay.example</t>
  </si>
  <si>
    <t xml:space="preserve">VL-1045</t>
  </si>
  <si>
    <t xml:space="preserve">Beaumont</t>
  </si>
  <si>
    <t xml:space="preserve">renata.beaumont@vandelay.example</t>
  </si>
  <si>
    <t xml:space="preserve">VL-1046</t>
  </si>
  <si>
    <t xml:space="preserve">Aguilar</t>
  </si>
  <si>
    <t xml:space="preserve">renata.aguilar@vandelay.example</t>
  </si>
  <si>
    <t xml:space="preserve">VL-1047</t>
  </si>
  <si>
    <t xml:space="preserve">Caleb</t>
  </si>
  <si>
    <t xml:space="preserve">Espinoza</t>
  </si>
  <si>
    <t xml:space="preserve">caleb.espinoza@vandelay.example</t>
  </si>
  <si>
    <t xml:space="preserve">VL-1048</t>
  </si>
  <si>
    <t xml:space="preserve">Emmett</t>
  </si>
  <si>
    <t xml:space="preserve">Gallagher</t>
  </si>
  <si>
    <t xml:space="preserve">emmett.gallagher@vandelay.example</t>
  </si>
  <si>
    <t xml:space="preserve">VL-1049</t>
  </si>
  <si>
    <t xml:space="preserve">Mensah</t>
  </si>
  <si>
    <t xml:space="preserve">sienna.mensah@vandelay.example</t>
  </si>
  <si>
    <t xml:space="preserve">VL-1050</t>
  </si>
  <si>
    <t xml:space="preserve">Omar</t>
  </si>
  <si>
    <t xml:space="preserve">Salazar</t>
  </si>
  <si>
    <t xml:space="preserve">omar.salazar@vandelay.example</t>
  </si>
  <si>
    <t xml:space="preserve">VL-1051</t>
  </si>
  <si>
    <t xml:space="preserve">Iris</t>
  </si>
  <si>
    <t xml:space="preserve">iris.aguilar@vandelay.example</t>
  </si>
  <si>
    <t xml:space="preserve">VL-1052</t>
  </si>
  <si>
    <t xml:space="preserve">Chowdhury</t>
  </si>
  <si>
    <t xml:space="preserve">tamar.chowdhury@vandelay.example</t>
  </si>
  <si>
    <t xml:space="preserve">VL-1053</t>
  </si>
  <si>
    <t xml:space="preserve">ines.sinclair@vandelay.example</t>
  </si>
  <si>
    <t xml:space="preserve">VL-1054</t>
  </si>
  <si>
    <t xml:space="preserve">Felix</t>
  </si>
  <si>
    <t xml:space="preserve">Yamamoto</t>
  </si>
  <si>
    <t xml:space="preserve">felix.yamamoto@vandelay.example</t>
  </si>
  <si>
    <t xml:space="preserve">VL-1055</t>
  </si>
  <si>
    <t xml:space="preserve">Ferreira</t>
  </si>
  <si>
    <t xml:space="preserve">omar.ferreira@vandelay.example</t>
  </si>
  <si>
    <t xml:space="preserve">VL-1056</t>
  </si>
  <si>
    <t xml:space="preserve">Tessa</t>
  </si>
  <si>
    <t xml:space="preserve">Voss</t>
  </si>
  <si>
    <t xml:space="preserve">tessa.voss@vandelay.example</t>
  </si>
  <si>
    <t xml:space="preserve">VL-1057</t>
  </si>
  <si>
    <t xml:space="preserve">mei.whitfield@vandelay.example</t>
  </si>
  <si>
    <t xml:space="preserve">VL-1058</t>
  </si>
  <si>
    <t xml:space="preserve">Lina</t>
  </si>
  <si>
    <t xml:space="preserve">Zielinski</t>
  </si>
  <si>
    <t xml:space="preserve">lina.zielinski@vandelay.example</t>
  </si>
  <si>
    <t xml:space="preserve">VL-1059</t>
  </si>
  <si>
    <t xml:space="preserve">Malik</t>
  </si>
  <si>
    <t xml:space="preserve">malik.obi@vandelay.example</t>
  </si>
  <si>
    <t xml:space="preserve">VL-1060</t>
  </si>
  <si>
    <t xml:space="preserve">maya.abubakar@vandelay.example</t>
  </si>
  <si>
    <t xml:space="preserve">VL-1061</t>
  </si>
  <si>
    <t xml:space="preserve">Anand</t>
  </si>
  <si>
    <t xml:space="preserve">felix.anand@vandelay.example</t>
  </si>
  <si>
    <t xml:space="preserve">VL-1062</t>
  </si>
  <si>
    <t xml:space="preserve">Wozniak</t>
  </si>
  <si>
    <t xml:space="preserve">daniel.wozniak@vandelay.example</t>
  </si>
  <si>
    <t xml:space="preserve">VL-1063</t>
  </si>
  <si>
    <t xml:space="preserve">Lucero</t>
  </si>
  <si>
    <t xml:space="preserve">miles.lucero@vandelay.example</t>
  </si>
  <si>
    <t xml:space="preserve">VL-1064</t>
  </si>
  <si>
    <t xml:space="preserve">Sorensen</t>
  </si>
  <si>
    <t xml:space="preserve">marcus.sorensen@vandelay.example</t>
  </si>
  <si>
    <t xml:space="preserve">VL-1065</t>
  </si>
  <si>
    <t xml:space="preserve">ezra.kessler@vandelay.example</t>
  </si>
  <si>
    <t xml:space="preserve">Ada</t>
  </si>
  <si>
    <t xml:space="preserve">Paredes</t>
  </si>
  <si>
    <t xml:space="preserve">ada.paredes@vandelay.example</t>
  </si>
  <si>
    <t xml:space="preserve">Paralegal Manager</t>
  </si>
  <si>
    <t xml:space="preserve">VL-1137</t>
  </si>
  <si>
    <t xml:space="preserve">Theo</t>
  </si>
  <si>
    <t xml:space="preserve">Mireille</t>
  </si>
  <si>
    <t xml:space="preserve">theo.mireille@vandelay.example</t>
  </si>
  <si>
    <t xml:space="preserve">Senior Paralegal</t>
  </si>
  <si>
    <t xml:space="preserve">VL-1138</t>
  </si>
  <si>
    <t xml:space="preserve">mei.nwosu@vandelay.example</t>
  </si>
  <si>
    <t xml:space="preserve">VL-1139</t>
  </si>
  <si>
    <t xml:space="preserve">lorenzo.nwosu@vandelay.example</t>
  </si>
  <si>
    <t xml:space="preserve">VL-1140</t>
  </si>
  <si>
    <t xml:space="preserve">Nadia</t>
  </si>
  <si>
    <t xml:space="preserve">nadia.aguilar@vandelay.example</t>
  </si>
  <si>
    <t xml:space="preserve">VL-1141</t>
  </si>
  <si>
    <t xml:space="preserve">Sofia</t>
  </si>
  <si>
    <t xml:space="preserve">Ekwueme</t>
  </si>
  <si>
    <t xml:space="preserve">sofia.ekwueme@vandelay.example</t>
  </si>
  <si>
    <t xml:space="preserve">VL-1142</t>
  </si>
  <si>
    <t xml:space="preserve">Alina</t>
  </si>
  <si>
    <t xml:space="preserve">alina.fontaine@vandelay.example</t>
  </si>
  <si>
    <t xml:space="preserve">VL-1143</t>
  </si>
  <si>
    <t xml:space="preserve">ruth.okoro@vandelay.example</t>
  </si>
  <si>
    <t xml:space="preserve">VL-1144</t>
  </si>
  <si>
    <t xml:space="preserve">ada.obi@vandelay.example</t>
  </si>
  <si>
    <t xml:space="preserve">VL-1145</t>
  </si>
  <si>
    <t xml:space="preserve">Esme</t>
  </si>
  <si>
    <t xml:space="preserve">esme.ramanathan@vandelay.example</t>
  </si>
  <si>
    <t xml:space="preserve">VL-1146</t>
  </si>
  <si>
    <t xml:space="preserve">victor.whitfield@vandelay.example</t>
  </si>
  <si>
    <t xml:space="preserve">VL-1147</t>
  </si>
  <si>
    <t xml:space="preserve">idris.ferreira@vandelay.example</t>
  </si>
  <si>
    <t xml:space="preserve">VL-1148</t>
  </si>
  <si>
    <t xml:space="preserve">nathan.sorensen@vandelay.example</t>
  </si>
  <si>
    <t xml:space="preserve">VL-1149</t>
  </si>
  <si>
    <t xml:space="preserve">reuben.mireille@vandelay.example</t>
  </si>
  <si>
    <t xml:space="preserve">VL-1179</t>
  </si>
  <si>
    <t xml:space="preserve">theo.okoro@vandelay.example</t>
  </si>
  <si>
    <t xml:space="preserve">Litigation Support Specialist</t>
  </si>
  <si>
    <t xml:space="preserve">Litigation Support &amp; eDiscovery</t>
  </si>
  <si>
    <t xml:space="preserve">VL-1180</t>
  </si>
  <si>
    <t xml:space="preserve">Bhatt</t>
  </si>
  <si>
    <t xml:space="preserve">ada.bhatt@vandelay.example</t>
  </si>
  <si>
    <t xml:space="preserve">VL-1181</t>
  </si>
  <si>
    <t xml:space="preserve">Amara</t>
  </si>
  <si>
    <t xml:space="preserve">amara.okafor@vandelay.example</t>
  </si>
  <si>
    <t xml:space="preserve">VL-1182</t>
  </si>
  <si>
    <t xml:space="preserve">Kingsley</t>
  </si>
  <si>
    <t xml:space="preserve">alina.kingsley@vandelay.example</t>
  </si>
  <si>
    <t xml:space="preserve">VL-1183</t>
  </si>
  <si>
    <t xml:space="preserve">Lucia</t>
  </si>
  <si>
    <t xml:space="preserve">Kapoor</t>
  </si>
  <si>
    <t xml:space="preserve">lucia.kapoor@vandelay.example</t>
  </si>
  <si>
    <t xml:space="preserve">eDiscovery Analyst</t>
  </si>
  <si>
    <t xml:space="preserve">VL-1184</t>
  </si>
  <si>
    <t xml:space="preserve">nathan.obi@vandelay.example</t>
  </si>
  <si>
    <t xml:space="preserve">VL-1219</t>
  </si>
  <si>
    <t xml:space="preserve">reuben.rutherford@vandelay.example</t>
  </si>
  <si>
    <t xml:space="preserve">VL-1227</t>
  </si>
  <si>
    <t xml:space="preserve">simon.anand@vandelay.example</t>
  </si>
  <si>
    <t xml:space="preserve">VL-1228</t>
  </si>
  <si>
    <t xml:space="preserve">Anaya</t>
  </si>
  <si>
    <t xml:space="preserve">Petrov</t>
  </si>
  <si>
    <t xml:space="preserve">anaya.petrov@vandelay.example</t>
  </si>
  <si>
    <t xml:space="preserve">VL-1004</t>
  </si>
  <si>
    <t xml:space="preserve">Fitzgerald</t>
  </si>
  <si>
    <t xml:space="preserve">leo.fitzgerald@vandelay.example</t>
  </si>
  <si>
    <t xml:space="preserve">Deputy General Counsel, Regulatory &amp; Trade Compliance</t>
  </si>
  <si>
    <t xml:space="preserve">Regulatory &amp; Trade Compliance</t>
  </si>
  <si>
    <t xml:space="preserve">VL-1066</t>
  </si>
  <si>
    <t xml:space="preserve">Wei</t>
  </si>
  <si>
    <t xml:space="preserve">Goh</t>
  </si>
  <si>
    <t xml:space="preserve">wei.goh@vandelay.example</t>
  </si>
  <si>
    <t xml:space="preserve">VL-1067</t>
  </si>
  <si>
    <t xml:space="preserve">Hui</t>
  </si>
  <si>
    <t xml:space="preserve">Tan</t>
  </si>
  <si>
    <t xml:space="preserve">hui.tan@vandelay.example</t>
  </si>
  <si>
    <t xml:space="preserve">VL-1068</t>
  </si>
  <si>
    <t xml:space="preserve">Mariana</t>
  </si>
  <si>
    <t xml:space="preserve">Sanchez</t>
  </si>
  <si>
    <t xml:space="preserve">mariana.sanchez@vandelay.example</t>
  </si>
  <si>
    <t xml:space="preserve">Mexico City</t>
  </si>
  <si>
    <t xml:space="preserve">Mexico</t>
  </si>
  <si>
    <t xml:space="preserve">LATAM</t>
  </si>
  <si>
    <t xml:space="preserve">VL-1069</t>
  </si>
  <si>
    <t xml:space="preserve">Poppy</t>
  </si>
  <si>
    <t xml:space="preserve">Thornbury</t>
  </si>
  <si>
    <t xml:space="preserve">poppy.thornbury@vandelay.example</t>
  </si>
  <si>
    <t xml:space="preserve">VL-1070</t>
  </si>
  <si>
    <t xml:space="preserve">caleb.achebe@vandelay.example</t>
  </si>
  <si>
    <t xml:space="preserve">VL-1071</t>
  </si>
  <si>
    <t xml:space="preserve">Diego</t>
  </si>
  <si>
    <t xml:space="preserve">Garcia</t>
  </si>
  <si>
    <t xml:space="preserve">diego.garcia@vandelay.example</t>
  </si>
  <si>
    <t xml:space="preserve">VL-1072</t>
  </si>
  <si>
    <t xml:space="preserve">Chloe</t>
  </si>
  <si>
    <t xml:space="preserve">chloe.okafor@vandelay.example</t>
  </si>
  <si>
    <t xml:space="preserve">VL-1073</t>
  </si>
  <si>
    <t xml:space="preserve">Bassett</t>
  </si>
  <si>
    <t xml:space="preserve">chloe.bassett@vandelay.example</t>
  </si>
  <si>
    <t xml:space="preserve">VL-1074</t>
  </si>
  <si>
    <t xml:space="preserve">henry.alvarado@vandelay.example</t>
  </si>
  <si>
    <t xml:space="preserve">VL-1075</t>
  </si>
  <si>
    <t xml:space="preserve">Ocampo</t>
  </si>
  <si>
    <t xml:space="preserve">rohan.ocampo@vandelay.example</t>
  </si>
  <si>
    <t xml:space="preserve">VL-1076</t>
  </si>
  <si>
    <t xml:space="preserve">nathan.alvarado@vandelay.example</t>
  </si>
  <si>
    <t xml:space="preserve">VL-1077</t>
  </si>
  <si>
    <t xml:space="preserve">renata.osman@vandelay.example</t>
  </si>
  <si>
    <t xml:space="preserve">VL-1078</t>
  </si>
  <si>
    <t xml:space="preserve">Farah</t>
  </si>
  <si>
    <t xml:space="preserve">farah.mireille@vandelay.example</t>
  </si>
  <si>
    <t xml:space="preserve">VL-1079</t>
  </si>
  <si>
    <t xml:space="preserve">Keira</t>
  </si>
  <si>
    <t xml:space="preserve">keira.wentworth@vandelay.example</t>
  </si>
  <si>
    <t xml:space="preserve">VL-1080</t>
  </si>
  <si>
    <t xml:space="preserve">emmett.whitfield@vandelay.example</t>
  </si>
  <si>
    <t xml:space="preserve">VL-1158</t>
  </si>
  <si>
    <t xml:space="preserve">anaya.salazar@vandelay.example</t>
  </si>
  <si>
    <t xml:space="preserve">VL-1159</t>
  </si>
  <si>
    <t xml:space="preserve">Wren</t>
  </si>
  <si>
    <t xml:space="preserve">wren.nwosu@vandelay.example</t>
  </si>
  <si>
    <t xml:space="preserve">VL-1160</t>
  </si>
  <si>
    <t xml:space="preserve">Hana</t>
  </si>
  <si>
    <t xml:space="preserve">hana.sorensen@vandelay.example</t>
  </si>
  <si>
    <t xml:space="preserve">VL-1188</t>
  </si>
  <si>
    <t xml:space="preserve">victor.sorensen@vandelay.example</t>
  </si>
  <si>
    <t xml:space="preserve">Compliance Analyst</t>
  </si>
  <si>
    <t xml:space="preserve">Compliance Operations</t>
  </si>
  <si>
    <t xml:space="preserve">Dublin</t>
  </si>
  <si>
    <t xml:space="preserve">Ireland</t>
  </si>
  <si>
    <t xml:space="preserve">VL-1189</t>
  </si>
  <si>
    <t xml:space="preserve">Ramirez</t>
  </si>
  <si>
    <t xml:space="preserve">diego.ramirez@vandelay.example</t>
  </si>
  <si>
    <t xml:space="preserve">VL-1190</t>
  </si>
  <si>
    <t xml:space="preserve">tariq.delgado@vandelay.example</t>
  </si>
  <si>
    <t xml:space="preserve">VL-1220</t>
  </si>
  <si>
    <t xml:space="preserve">Osei</t>
  </si>
  <si>
    <t xml:space="preserve">keira.osei@vandelay.example</t>
  </si>
  <si>
    <t xml:space="preserve">VL-1005</t>
  </si>
  <si>
    <t xml:space="preserve">lina.mbeki@vandelay.example</t>
  </si>
  <si>
    <t xml:space="preserve">Deputy General Counsel, Employment &amp; Labor</t>
  </si>
  <si>
    <t xml:space="preserve">Employment &amp; Labor</t>
  </si>
  <si>
    <t xml:space="preserve">VL-1081</t>
  </si>
  <si>
    <t xml:space="preserve">ezra.baptiste@vandelay.example</t>
  </si>
  <si>
    <t xml:space="preserve">VL-1082</t>
  </si>
  <si>
    <t xml:space="preserve">Dalia</t>
  </si>
  <si>
    <t xml:space="preserve">Hartmann</t>
  </si>
  <si>
    <t xml:space="preserve">dalia.hartmann@vandelay.example</t>
  </si>
  <si>
    <t xml:space="preserve">VL-1083</t>
  </si>
  <si>
    <t xml:space="preserve">Lindgren</t>
  </si>
  <si>
    <t xml:space="preserve">nadia.lindgren@vandelay.example</t>
  </si>
  <si>
    <t xml:space="preserve">VL-1084</t>
  </si>
  <si>
    <t xml:space="preserve">zainab.nwosu@vandelay.example</t>
  </si>
  <si>
    <t xml:space="preserve">VL-1085</t>
  </si>
  <si>
    <t xml:space="preserve">Bastian</t>
  </si>
  <si>
    <t xml:space="preserve">Blackwood</t>
  </si>
  <si>
    <t xml:space="preserve">bastian.blackwood@vandelay.example</t>
  </si>
  <si>
    <t xml:space="preserve">VL-1086</t>
  </si>
  <si>
    <t xml:space="preserve">Sandoval</t>
  </si>
  <si>
    <t xml:space="preserve">wren.sandoval@vandelay.example</t>
  </si>
  <si>
    <t xml:space="preserve">VL-1087</t>
  </si>
  <si>
    <t xml:space="preserve">maya.fitzgerald@vandelay.example</t>
  </si>
  <si>
    <t xml:space="preserve">VL-1088</t>
  </si>
  <si>
    <t xml:space="preserve">solveig.duarte@vandelay.example</t>
  </si>
  <si>
    <t xml:space="preserve">VL-1089</t>
  </si>
  <si>
    <t xml:space="preserve">marcus.villanueva@vandelay.example</t>
  </si>
  <si>
    <t xml:space="preserve">VL-1090</t>
  </si>
  <si>
    <t xml:space="preserve">Brennan</t>
  </si>
  <si>
    <t xml:space="preserve">felix.brennan@vandelay.example</t>
  </si>
  <si>
    <t xml:space="preserve">VL-1091</t>
  </si>
  <si>
    <t xml:space="preserve">dalia.lindgren@vandelay.example</t>
  </si>
  <si>
    <t xml:space="preserve">VL-1092</t>
  </si>
  <si>
    <t xml:space="preserve">esme.ferreira@vandelay.example</t>
  </si>
  <si>
    <t xml:space="preserve">VL-1093</t>
  </si>
  <si>
    <t xml:space="preserve">Quinlan</t>
  </si>
  <si>
    <t xml:space="preserve">daniel.quinlan@vandelay.example</t>
  </si>
  <si>
    <t xml:space="preserve">VL-1155</t>
  </si>
  <si>
    <t xml:space="preserve">Holloway</t>
  </si>
  <si>
    <t xml:space="preserve">oliver.holloway@vandelay.example</t>
  </si>
  <si>
    <t xml:space="preserve">VL-1156</t>
  </si>
  <si>
    <t xml:space="preserve">Mahmoud</t>
  </si>
  <si>
    <t xml:space="preserve">dalia.mahmoud@vandelay.example</t>
  </si>
  <si>
    <t xml:space="preserve">VL-1157</t>
  </si>
  <si>
    <t xml:space="preserve">Ashworth</t>
  </si>
  <si>
    <t xml:space="preserve">sofia.ashworth@vandelay.example</t>
  </si>
  <si>
    <t xml:space="preserve">VL-1221</t>
  </si>
  <si>
    <t xml:space="preserve">Thandi</t>
  </si>
  <si>
    <t xml:space="preserve">Kaur</t>
  </si>
  <si>
    <t xml:space="preserve">thandi.kaur@vandelay.example</t>
  </si>
  <si>
    <t xml:space="preserve">VL-1006</t>
  </si>
  <si>
    <t xml:space="preserve">Leila</t>
  </si>
  <si>
    <t xml:space="preserve">Reyes</t>
  </si>
  <si>
    <t xml:space="preserve">leila.reyes@vandelay.example</t>
  </si>
  <si>
    <t xml:space="preserve">Deputy General Counsel, Intellectual Property</t>
  </si>
  <si>
    <t xml:space="preserve">Intellectual Property</t>
  </si>
  <si>
    <t xml:space="preserve">VL-1094</t>
  </si>
  <si>
    <t xml:space="preserve">kavya.okonkwo@vandelay.example</t>
  </si>
  <si>
    <t xml:space="preserve">VL-1095</t>
  </si>
  <si>
    <t xml:space="preserve">Andre</t>
  </si>
  <si>
    <t xml:space="preserve">andre.pereira@vandelay.example</t>
  </si>
  <si>
    <t xml:space="preserve">VL-1096</t>
  </si>
  <si>
    <t xml:space="preserve">Zara</t>
  </si>
  <si>
    <t xml:space="preserve">Oyelaran</t>
  </si>
  <si>
    <t xml:space="preserve">zara.oyelaran@vandelay.example</t>
  </si>
  <si>
    <t xml:space="preserve">VL-1097</t>
  </si>
  <si>
    <t xml:space="preserve">camille.duarte@vandelay.example</t>
  </si>
  <si>
    <t xml:space="preserve">VL-1098</t>
  </si>
  <si>
    <t xml:space="preserve">ines.okonkwo@vandelay.example</t>
  </si>
  <si>
    <t xml:space="preserve">VL-1099</t>
  </si>
  <si>
    <t xml:space="preserve">sienna.ferrer@vandelay.example</t>
  </si>
  <si>
    <t xml:space="preserve">VL-1100</t>
  </si>
  <si>
    <t xml:space="preserve">Nordin</t>
  </si>
  <si>
    <t xml:space="preserve">kavya.nordin@vandelay.example</t>
  </si>
  <si>
    <t xml:space="preserve">VL-1101</t>
  </si>
  <si>
    <t xml:space="preserve">emmett.kessler@vandelay.example</t>
  </si>
  <si>
    <t xml:space="preserve">VL-1102</t>
  </si>
  <si>
    <t xml:space="preserve">tariq.beaumont@vandelay.example</t>
  </si>
  <si>
    <t xml:space="preserve">VL-1103</t>
  </si>
  <si>
    <t xml:space="preserve">dalia.carvalho@vandelay.example</t>
  </si>
  <si>
    <t xml:space="preserve">VL-1104</t>
  </si>
  <si>
    <t xml:space="preserve">Jonah</t>
  </si>
  <si>
    <t xml:space="preserve">jonah.rutherford@vandelay.example</t>
  </si>
  <si>
    <t xml:space="preserve">VL-1185</t>
  </si>
  <si>
    <t xml:space="preserve">iris.chowdhury@vandelay.example</t>
  </si>
  <si>
    <t xml:space="preserve">IP Docketing Specialist</t>
  </si>
  <si>
    <t xml:space="preserve">IP Docketing</t>
  </si>
  <si>
    <t xml:space="preserve">VL-1186</t>
  </si>
  <si>
    <t xml:space="preserve">felix.ellison@vandelay.example</t>
  </si>
  <si>
    <t xml:space="preserve">VL-1187</t>
  </si>
  <si>
    <t xml:space="preserve">simon.espinoza@vandelay.example</t>
  </si>
  <si>
    <t xml:space="preserve">VL-1222</t>
  </si>
  <si>
    <t xml:space="preserve">Rosa</t>
  </si>
  <si>
    <t xml:space="preserve">rosa.diallo@vandelay.example</t>
  </si>
  <si>
    <t xml:space="preserve">VL-1007</t>
  </si>
  <si>
    <t xml:space="preserve">Marchetti</t>
  </si>
  <si>
    <t xml:space="preserve">esme.marchetti@vandelay.example</t>
  </si>
  <si>
    <t xml:space="preserve">Deputy General Counsel, Privacy &amp; Data Protection</t>
  </si>
  <si>
    <t xml:space="preserve">Privacy &amp; Data Protection</t>
  </si>
  <si>
    <t xml:space="preserve">VL-1105</t>
  </si>
  <si>
    <t xml:space="preserve">Niamh</t>
  </si>
  <si>
    <t xml:space="preserve">niamh.thornbury@vandelay.example</t>
  </si>
  <si>
    <t xml:space="preserve">VL-1106</t>
  </si>
  <si>
    <t xml:space="preserve">Nakagawa</t>
  </si>
  <si>
    <t xml:space="preserve">solveig.nakagawa@vandelay.example</t>
  </si>
  <si>
    <t xml:space="preserve">VL-1107</t>
  </si>
  <si>
    <t xml:space="preserve">Grace</t>
  </si>
  <si>
    <t xml:space="preserve">Nolan</t>
  </si>
  <si>
    <t xml:space="preserve">grace.nolan@vandelay.example</t>
  </si>
  <si>
    <t xml:space="preserve">VL-1108</t>
  </si>
  <si>
    <t xml:space="preserve">Whitmore</t>
  </si>
  <si>
    <t xml:space="preserve">poppy.whitmore@vandelay.example</t>
  </si>
  <si>
    <t xml:space="preserve">VL-1109</t>
  </si>
  <si>
    <t xml:space="preserve">Amelia</t>
  </si>
  <si>
    <t xml:space="preserve">Ashcroft</t>
  </si>
  <si>
    <t xml:space="preserve">amelia.ashcroft@vandelay.example</t>
  </si>
  <si>
    <t xml:space="preserve">VL-1110</t>
  </si>
  <si>
    <t xml:space="preserve">Ava</t>
  </si>
  <si>
    <t xml:space="preserve">Doherty</t>
  </si>
  <si>
    <t xml:space="preserve">ava.doherty@vandelay.example</t>
  </si>
  <si>
    <t xml:space="preserve">VL-1111</t>
  </si>
  <si>
    <t xml:space="preserve">Pemberton</t>
  </si>
  <si>
    <t xml:space="preserve">grace.pemberton@vandelay.example</t>
  </si>
  <si>
    <t xml:space="preserve">VL-1112</t>
  </si>
  <si>
    <t xml:space="preserve">camille.nakagawa@vandelay.example</t>
  </si>
  <si>
    <t xml:space="preserve">VL-1113</t>
  </si>
  <si>
    <t xml:space="preserve">dalia.achebe@vandelay.example</t>
  </si>
  <si>
    <t xml:space="preserve">VL-1114</t>
  </si>
  <si>
    <t xml:space="preserve">marcel.lucero@vandelay.example</t>
  </si>
  <si>
    <t xml:space="preserve">VL-1115</t>
  </si>
  <si>
    <t xml:space="preserve">Vance</t>
  </si>
  <si>
    <t xml:space="preserve">hana.vance@vandelay.example</t>
  </si>
  <si>
    <t xml:space="preserve">VL-1223</t>
  </si>
  <si>
    <t xml:space="preserve">Isla</t>
  </si>
  <si>
    <t xml:space="preserve">isla.pemberton@vandelay.example</t>
  </si>
  <si>
    <t xml:space="preserve">VL-1008</t>
  </si>
  <si>
    <t xml:space="preserve">simon.fontaine@vandelay.example</t>
  </si>
  <si>
    <t xml:space="preserve">Deputy General Counsel, Corporate, Securities &amp; Governance</t>
  </si>
  <si>
    <t xml:space="preserve">Corporate, Securities &amp; Governance</t>
  </si>
  <si>
    <t xml:space="preserve">VL-1116</t>
  </si>
  <si>
    <t xml:space="preserve">hana.okoro@vandelay.example</t>
  </si>
  <si>
    <t xml:space="preserve">VL-1117</t>
  </si>
  <si>
    <t xml:space="preserve">anaya.bassett@vandelay.example</t>
  </si>
  <si>
    <t xml:space="preserve">VL-1118</t>
  </si>
  <si>
    <t xml:space="preserve">owen.karlsson@vandelay.example</t>
  </si>
  <si>
    <t xml:space="preserve">VL-1119</t>
  </si>
  <si>
    <t xml:space="preserve">oliver.karlsson@vandelay.example</t>
  </si>
  <si>
    <t xml:space="preserve">VL-1120</t>
  </si>
  <si>
    <t xml:space="preserve">Greta</t>
  </si>
  <si>
    <t xml:space="preserve">greta.villanueva@vandelay.example</t>
  </si>
  <si>
    <t xml:space="preserve">VL-1121</t>
  </si>
  <si>
    <t xml:space="preserve">hana.nakamura@vandelay.example</t>
  </si>
  <si>
    <t xml:space="preserve">VL-1122</t>
  </si>
  <si>
    <t xml:space="preserve">Jasper</t>
  </si>
  <si>
    <t xml:space="preserve">Thibodeaux</t>
  </si>
  <si>
    <t xml:space="preserve">jasper.thibodeaux@vandelay.example</t>
  </si>
  <si>
    <t xml:space="preserve">VL-1123</t>
  </si>
  <si>
    <t xml:space="preserve">zara.sinclair@vandelay.example</t>
  </si>
  <si>
    <t xml:space="preserve">VL-1124</t>
  </si>
  <si>
    <t xml:space="preserve">jasper.alvarado@vandelay.example</t>
  </si>
  <si>
    <t xml:space="preserve">VL-1125</t>
  </si>
  <si>
    <t xml:space="preserve">anaya.ramanathan@vandelay.example</t>
  </si>
  <si>
    <t xml:space="preserve">VL-1126</t>
  </si>
  <si>
    <t xml:space="preserve">Mwangi</t>
  </si>
  <si>
    <t xml:space="preserve">farah.mwangi@vandelay.example</t>
  </si>
  <si>
    <t xml:space="preserve">VL-1161</t>
  </si>
  <si>
    <t xml:space="preserve">henry.kapoor@vandelay.example</t>
  </si>
  <si>
    <t xml:space="preserve">VL-1162</t>
  </si>
  <si>
    <t xml:space="preserve">Ferrante</t>
  </si>
  <si>
    <t xml:space="preserve">imani.ferrante@vandelay.example</t>
  </si>
  <si>
    <t xml:space="preserve">VL-1163</t>
  </si>
  <si>
    <t xml:space="preserve">Moreau</t>
  </si>
  <si>
    <t xml:space="preserve">bram.moreau@vandelay.example</t>
  </si>
  <si>
    <t xml:space="preserve">VL-1224</t>
  </si>
  <si>
    <t xml:space="preserve">Della</t>
  </si>
  <si>
    <t xml:space="preserve">della.moreau@vandelay.example</t>
  </si>
  <si>
    <t xml:space="preserve">VL-1009</t>
  </si>
  <si>
    <t xml:space="preserve">malik.blackwood@vandelay.example</t>
  </si>
  <si>
    <t xml:space="preserve">Deputy General Counsel, Real Estate, Environmental &amp; Safety</t>
  </si>
  <si>
    <t xml:space="preserve">Real Estate, Environmental &amp; Safety</t>
  </si>
  <si>
    <t xml:space="preserve">VL-1127</t>
  </si>
  <si>
    <t xml:space="preserve">greta.yamamoto@vandelay.example</t>
  </si>
  <si>
    <t xml:space="preserve">VL-1128</t>
  </si>
  <si>
    <t xml:space="preserve">marcus.ferrante@vandelay.example</t>
  </si>
  <si>
    <t xml:space="preserve">VL-1129</t>
  </si>
  <si>
    <t xml:space="preserve">dalia.nordin@vandelay.example</t>
  </si>
  <si>
    <t xml:space="preserve">VL-1130</t>
  </si>
  <si>
    <t xml:space="preserve">Hugo</t>
  </si>
  <si>
    <t xml:space="preserve">hugo.ekwueme@vandelay.example</t>
  </si>
  <si>
    <t xml:space="preserve">VL-1131</t>
  </si>
  <si>
    <t xml:space="preserve">Ravi</t>
  </si>
  <si>
    <t xml:space="preserve">ravi.abubakar@vandelay.example</t>
  </si>
  <si>
    <t xml:space="preserve">VL-1132</t>
  </si>
  <si>
    <t xml:space="preserve">rosa.kowalczyk@vandelay.example</t>
  </si>
  <si>
    <t xml:space="preserve">VL-1133</t>
  </si>
  <si>
    <t xml:space="preserve">Rafael</t>
  </si>
  <si>
    <t xml:space="preserve">Sato</t>
  </si>
  <si>
    <t xml:space="preserve">rafael.sato@vandelay.example</t>
  </si>
  <si>
    <t xml:space="preserve">VL-1134</t>
  </si>
  <si>
    <t xml:space="preserve">Callum</t>
  </si>
  <si>
    <t xml:space="preserve">callum.diallo@vandelay.example</t>
  </si>
  <si>
    <t xml:space="preserve">VL-1135</t>
  </si>
  <si>
    <t xml:space="preserve">aisha.ekwueme@vandelay.example</t>
  </si>
  <si>
    <t xml:space="preserve">VL-1177</t>
  </si>
  <si>
    <t xml:space="preserve">victor.petrov@vandelay.example</t>
  </si>
  <si>
    <t xml:space="preserve">VL-1178</t>
  </si>
  <si>
    <t xml:space="preserve">Torvik</t>
  </si>
  <si>
    <t xml:space="preserve">rosa.torvik@vandelay.example</t>
  </si>
  <si>
    <t xml:space="preserve">VL-1225</t>
  </si>
  <si>
    <t xml:space="preserve">idris.bergstrom@vandelay.example</t>
  </si>
  <si>
    <t xml:space="preserve">VL-1191</t>
  </si>
  <si>
    <t xml:space="preserve">theo.sinclair@vandelay.example</t>
  </si>
  <si>
    <t xml:space="preserve">Director, Legal Operations</t>
  </si>
  <si>
    <t xml:space="preserve">O1</t>
  </si>
  <si>
    <t xml:space="preserve">Legal Ops - Leadership</t>
  </si>
  <si>
    <t xml:space="preserve">Legal Operations</t>
  </si>
  <si>
    <t xml:space="preserve">VL-1192</t>
  </si>
  <si>
    <t xml:space="preserve">Tobias</t>
  </si>
  <si>
    <t xml:space="preserve">Pellegrini</t>
  </si>
  <si>
    <t xml:space="preserve">tobias.pellegrini@vandelay.example</t>
  </si>
  <si>
    <t xml:space="preserve">Legal Operations Manager</t>
  </si>
  <si>
    <t xml:space="preserve">VL-1193</t>
  </si>
  <si>
    <t xml:space="preserve">leila.alvarado@vandelay.example</t>
  </si>
  <si>
    <t xml:space="preserve">VL-1194</t>
  </si>
  <si>
    <t xml:space="preserve">Varga</t>
  </si>
  <si>
    <t xml:space="preserve">bram.varga@vandelay.example</t>
  </si>
  <si>
    <t xml:space="preserve">VL-1195</t>
  </si>
  <si>
    <t xml:space="preserve">reuben.adler@vandelay.example</t>
  </si>
  <si>
    <t xml:space="preserve">Legal Operations Analyst</t>
  </si>
  <si>
    <t xml:space="preserve">O2</t>
  </si>
  <si>
    <t xml:space="preserve">Legal Ops - Staff</t>
  </si>
  <si>
    <t xml:space="preserve">VL-1196</t>
  </si>
  <si>
    <t xml:space="preserve">Rowe</t>
  </si>
  <si>
    <t xml:space="preserve">tariq.rowe@vandelay.example</t>
  </si>
  <si>
    <t xml:space="preserve">VL-1197</t>
  </si>
  <si>
    <t xml:space="preserve">Ignacio</t>
  </si>
  <si>
    <t xml:space="preserve">ignacio.nwosu@vandelay.example</t>
  </si>
  <si>
    <t xml:space="preserve">VL-1198</t>
  </si>
  <si>
    <t xml:space="preserve">ezra.hartmann@vandelay.example</t>
  </si>
  <si>
    <t xml:space="preserve">VL-1199</t>
  </si>
  <si>
    <t xml:space="preserve">Noa</t>
  </si>
  <si>
    <t xml:space="preserve">noa.moreau@vandelay.example</t>
  </si>
  <si>
    <t xml:space="preserve">VL-1200</t>
  </si>
  <si>
    <t xml:space="preserve">wren.petrov@vandelay.example</t>
  </si>
  <si>
    <t xml:space="preserve">VL-1201</t>
  </si>
  <si>
    <t xml:space="preserve">sofia.pellegrini@vandelay.example</t>
  </si>
  <si>
    <t xml:space="preserve">Legal Technology Manager</t>
  </si>
  <si>
    <t xml:space="preserve">Legal Technology</t>
  </si>
  <si>
    <t xml:space="preserve">Admin</t>
  </si>
  <si>
    <t xml:space="preserve">VL-1202</t>
  </si>
  <si>
    <t xml:space="preserve">lorenzo.fontaine@vandelay.example</t>
  </si>
  <si>
    <t xml:space="preserve">DMS Administrator</t>
  </si>
  <si>
    <t xml:space="preserve">VL-1203</t>
  </si>
  <si>
    <t xml:space="preserve">Gabriel</t>
  </si>
  <si>
    <t xml:space="preserve">gabriel.diallo@vandelay.example</t>
  </si>
  <si>
    <t xml:space="preserve">VL-1204</t>
  </si>
  <si>
    <t xml:space="preserve">tariq.karlsson@vandelay.example</t>
  </si>
  <si>
    <t xml:space="preserve">Legal Technology Analyst</t>
  </si>
  <si>
    <t xml:space="preserve">VL-1205</t>
  </si>
  <si>
    <t xml:space="preserve">Julian</t>
  </si>
  <si>
    <t xml:space="preserve">julian.espinoza@vandelay.example</t>
  </si>
  <si>
    <t xml:space="preserve">VL-1206</t>
  </si>
  <si>
    <t xml:space="preserve">devin.blackwood@vandelay.example</t>
  </si>
  <si>
    <t xml:space="preserve">VL-1207</t>
  </si>
  <si>
    <t xml:space="preserve">marcus.larsson@vandelay.example</t>
  </si>
  <si>
    <t xml:space="preserve">Manager, Records &amp; Information Governance</t>
  </si>
  <si>
    <t xml:space="preserve">Records &amp; Information Governance</t>
  </si>
  <si>
    <t xml:space="preserve">VL-1208</t>
  </si>
  <si>
    <t xml:space="preserve">felix.sandoval@vandelay.example</t>
  </si>
  <si>
    <t xml:space="preserve">Records Specialist</t>
  </si>
  <si>
    <t xml:space="preserve">VL-1209</t>
  </si>
  <si>
    <t xml:space="preserve">emmett.bhatt@vandelay.example</t>
  </si>
  <si>
    <t xml:space="preserve">VL-1210</t>
  </si>
  <si>
    <t xml:space="preserve">leo.salazar@vandelay.example</t>
  </si>
  <si>
    <t xml:space="preserve">VL-1211</t>
  </si>
  <si>
    <t xml:space="preserve">keira.bassett@vandelay.example</t>
  </si>
  <si>
    <t xml:space="preserve">VL-1212</t>
  </si>
  <si>
    <t xml:space="preserve">Freya</t>
  </si>
  <si>
    <t xml:space="preserve">Halvorsen</t>
  </si>
  <si>
    <t xml:space="preserve">freya.halvorsen@vandelay.example</t>
  </si>
  <si>
    <t xml:space="preserve">e-Billing &amp; Vendor Analyst</t>
  </si>
  <si>
    <t xml:space="preserve">Vendor Management &amp; e-Billing</t>
  </si>
  <si>
    <t xml:space="preserve">VL-1213</t>
  </si>
  <si>
    <t xml:space="preserve">ingrid.sorensen@vandelay.example</t>
  </si>
  <si>
    <t xml:space="preserve">VL-1214</t>
  </si>
  <si>
    <t xml:space="preserve">Adrian</t>
  </si>
  <si>
    <t xml:space="preserve">adrian.nwosu@vandelay.example</t>
  </si>
  <si>
    <t xml:space="preserve">Knowledge Manager</t>
  </si>
  <si>
    <t xml:space="preserve">Knowledge Management</t>
  </si>
  <si>
    <t xml:space="preserve">VL-1215</t>
  </si>
  <si>
    <t xml:space="preserve">kwame.oyelaran@vandelay.example</t>
  </si>
  <si>
    <t xml:space="preserve">Training &amp; Enablement Lead</t>
  </si>
  <si>
    <t xml:space="preserve">Training &amp; Enablement</t>
  </si>
  <si>
    <t xml:space="preserve">VL-1226</t>
  </si>
  <si>
    <t xml:space="preserve">greta.rowe@vandelay.example</t>
  </si>
  <si>
    <t xml:space="preserve">Practice groups</t>
  </si>
  <si>
    <t xml:space="preserve">Budgeted lawyer headcount FY2026 (incl. lead)</t>
  </si>
  <si>
    <t xml:space="preserve">Actual: lawyers</t>
  </si>
  <si>
    <t xml:space="preserve">Actual: all staff</t>
  </si>
  <si>
    <t xml:space="preserve">Notes</t>
  </si>
  <si>
    <t xml:space="preserve">Largest group. Houses the Contracts team (paraprofessional).</t>
  </si>
  <si>
    <t xml:space="preserve">Houses Paralegals and Litigation Support &amp; eDiscovery. Heaviest DMS users.</t>
  </si>
  <si>
    <t xml:space="preserve">Import/export company: trade, customs, sanctions. Lead sits in Washington, DC. Staff in Singapore and Mexico City.</t>
  </si>
  <si>
    <t xml:space="preserve">Lead sits in London. Staff in London and Dublin.</t>
  </si>
  <si>
    <t xml:space="preserve">Legal Operations, Legal Technology (incl. DMS Administrators), Records &amp; IG, Vendor Management &amp; e-Billing, Knowledge, Training &amp; Enablement.</t>
  </si>
  <si>
    <t xml:space="preserve">Level codes</t>
  </si>
  <si>
    <t xml:space="preserve">Title(s)</t>
  </si>
  <si>
    <t xml:space="preserve">Level band</t>
  </si>
  <si>
    <t xml:space="preserve">Cohort use</t>
  </si>
  <si>
    <t xml:space="preserve">Cohort key = practice_group | level_band. Survey responses are anonymous and reported at cohort level; telemetry and training are per employee_id and roll up to the same cohorts.</t>
  </si>
  <si>
    <t xml:space="preserve">Deputy General Counsel (practice lead)</t>
  </si>
  <si>
    <t xml:space="preserve">Paralegal Manager, Contracts Manager</t>
  </si>
  <si>
    <t xml:space="preserve">Paralegal, Contract Analyst, Litigation Support, eDiscovery, IP Docketing, Compliance Analyst</t>
  </si>
  <si>
    <t xml:space="preserve">Director / Managers in Legal Operations, Legal Technology, Records &amp; IG</t>
  </si>
  <si>
    <t xml:space="preserve">Analysts, DMS Administrators, Records Specialists, Knowledge Manager, Training &amp; Enablement Lead</t>
  </si>
  <si>
    <t xml:space="preserve">Locations</t>
  </si>
  <si>
    <t xml:space="preserve">Country</t>
  </si>
  <si>
    <t xml:space="preserve">Region</t>
  </si>
  <si>
    <t xml:space="preserve">Office type</t>
  </si>
  <si>
    <t xml:space="preserve">Actual headcount</t>
  </si>
  <si>
    <t xml:space="preserve">Headcount by practice group and level band</t>
  </si>
  <si>
    <t xml:space="preserve">Total</t>
  </si>
  <si>
    <t xml:space="preserve">Headcount by location</t>
  </si>
  <si>
    <t xml:space="preserve">Headcount checks</t>
  </si>
  <si>
    <t xml:space="preserve">Total roster rows</t>
  </si>
  <si>
    <t xml:space="preserve">Approved headcount FY2026</t>
  </si>
  <si>
    <t xml:space="preserve">Joined after DMS go-live</t>
  </si>
  <si>
    <t xml:space="preserve">Share joined after go-live</t>
  </si>
  <si>
    <t xml:space="preserve">Overseas headcount (EMEA + APAC + LATAM)</t>
  </si>
  <si>
    <t xml:space="preserve">DMS Admin role holders</t>
  </si>
  <si>
    <t xml:space="preserve">Item</t>
  </si>
  <si>
    <t xml:space="preserve">Value / note</t>
  </si>
  <si>
    <t xml:space="preserve">Company</t>
  </si>
  <si>
    <t xml:space="preserve">Vandelay Industries, Inc. Legal Department roster export, all locations, as of the date below.</t>
  </si>
  <si>
    <t xml:space="preserve">As-of date</t>
  </si>
  <si>
    <t xml:space="preserve">Archstone 9 relaunch training start</t>
  </si>
  <si>
    <t xml:space="preserve">Current Archstone DMS term ends (Amendment No. 2)</t>
  </si>
  <si>
    <t xml:space="preserve">Document management system</t>
  </si>
  <si>
    <t xml:space="preserve">Archstone DMS (vendor: Archstone Software, Inc.)</t>
  </si>
  <si>
    <t xml:space="preserve">Email domain</t>
  </si>
  <si>
    <t xml:space="preserve">vandelay.example (reserved domain; addresses do not resolve)</t>
  </si>
  <si>
    <t xml:space="preserve">Employee ID</t>
  </si>
  <si>
    <t xml:space="preserve">VL-1001 onward. HR identifier; also stamped on DMS accounts at provisioning, LMS records, and service-desk tickets.</t>
  </si>
  <si>
    <t xml:space="preserve">Cohort key</t>
  </si>
  <si>
    <t xml:space="preserve">practice_group | level_band. The Legal Technology Pulse Survey is anonymous and reports at this cohort level; usage and training records are per employee_id and roll up to the same key.</t>
  </si>
  <si>
    <t xml:space="preserve">Geography</t>
  </si>
  <si>
    <t xml:space="preserve">HQ New York. Regional US offices: Chicago, Houston, Washington DC, San Francisco, Atlanta, Los Angeles. International: London, Dublin, Singapore, Mexico City.</t>
  </si>
  <si>
    <t xml:space="preserve">Tenure</t>
  </si>
  <si>
    <t xml:space="preserve">hire_date is the HR date of hire. tenure_years is computed as of the as-of date. joined_after_relaunch flags staff hired after the Archstone 9 relaunch training began (April 2024).</t>
  </si>
  <si>
    <t xml:space="preserve">Formulas</t>
  </si>
  <si>
    <t xml:space="preserve">tenure_years, joined_after_relaunch, manager_name, cohort_key, and the counts on the Summary and Taxonomy sheets are live formulas.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</si>
</sst>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4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8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34"/>
    <col collapsed="false" customWidth="true" hidden="false" outlineLevel="0" max="6" min="6" style="1" width="8"/>
    <col collapsed="false" customWidth="true" hidden="false" outlineLevel="0" max="7" min="7" style="1" width="22"/>
    <col collapsed="false" customWidth="true" hidden="false" outlineLevel="0" max="8" min="8" style="1" width="32"/>
    <col collapsed="false" customWidth="true" hidden="false" outlineLevel="0" max="9" min="9" style="1" width="28"/>
    <col collapsed="false" customWidth="true" hidden="false" outlineLevel="0" max="10" min="10" style="1" width="15"/>
    <col collapsed="false" customWidth="true" hidden="false" outlineLevel="0" max="12" min="11" style="1" width="14"/>
    <col collapsed="false" customWidth="true" hidden="false" outlineLevel="0" max="13" min="13" style="1" width="18"/>
    <col collapsed="false" customWidth="true" hidden="false" outlineLevel="0" max="15" min="14" style="1" width="11"/>
    <col collapsed="false" customWidth="true" hidden="false" outlineLevel="0" max="16" min="16" style="1" width="9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22"/>
    <col collapsed="false" customWidth="true" hidden="false" outlineLevel="0" max="20" min="20" style="1" width="10"/>
    <col collapsed="false" customWidth="true" hidden="false" outlineLevel="0" max="21" min="21" style="1" width="4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5" hidden="false" customHeight="tru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/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4" t="n">
        <v>39407</v>
      </c>
      <c r="P2" s="3" t="n">
        <f aca="false">ROUND((About!$B$3-O2)/365.25,1)</f>
        <v>18.8</v>
      </c>
      <c r="Q2" s="3" t="str">
        <f aca="false">IF(O2&gt;About!$B$4,"Yes","No")</f>
        <v>No</v>
      </c>
      <c r="R2" s="3"/>
      <c r="S2" s="3" t="str">
        <f aca="false">IF(R2="","",INDEX($B$2:$B$231,MATCH(R2,$A$2:$A$231,0))&amp;" "&amp;INDEX($C$2:$C$231,MATCH(R2,$A$2:$A$231,0)))</f>
        <v/>
      </c>
      <c r="T2" s="3" t="s">
        <v>34</v>
      </c>
      <c r="U2" s="3" t="str">
        <f aca="false">H2&amp;" | "&amp;G2</f>
        <v>Office of the General Counsel | Lawyer - Leadership</v>
      </c>
    </row>
    <row r="3" customFormat="false" ht="15" hidden="false" customHeight="true" outlineLevel="0" collapsed="false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39</v>
      </c>
      <c r="H3" s="3" t="s">
        <v>28</v>
      </c>
      <c r="I3" s="3" t="s">
        <v>41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42</v>
      </c>
      <c r="O3" s="4" t="n">
        <v>45836</v>
      </c>
      <c r="P3" s="3" t="n">
        <f aca="false">ROUND((About!$B$3-O3)/365.25,1)</f>
        <v>1.2</v>
      </c>
      <c r="Q3" s="3" t="str">
        <f aca="false">IF(O3&gt;About!$B$4,"Yes","No")</f>
        <v>Yes</v>
      </c>
      <c r="R3" s="3" t="s">
        <v>21</v>
      </c>
      <c r="S3" s="3" t="str">
        <f aca="false">IF(R3="","",INDEX($B$2:$B$231,MATCH(R3,$A$2:$A$231,0))&amp;" "&amp;INDEX($C$2:$C$231,MATCH(R3,$A$2:$A$231,0)))</f>
        <v>Simon Rasmussen</v>
      </c>
      <c r="T3" s="3" t="s">
        <v>34</v>
      </c>
      <c r="U3" s="3" t="str">
        <f aca="false">H3&amp;" | "&amp;G3</f>
        <v>Office of the General Counsel | Executive Assistant</v>
      </c>
    </row>
    <row r="4" customFormat="false" ht="15" hidden="false" customHeight="tru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39</v>
      </c>
      <c r="F4" s="3" t="s">
        <v>40</v>
      </c>
      <c r="G4" s="3" t="s">
        <v>39</v>
      </c>
      <c r="H4" s="3" t="s">
        <v>28</v>
      </c>
      <c r="I4" s="3" t="s">
        <v>41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4" t="n">
        <v>43226</v>
      </c>
      <c r="P4" s="3" t="n">
        <f aca="false">ROUND((About!$B$3-O4)/365.25,1)</f>
        <v>8.3</v>
      </c>
      <c r="Q4" s="3" t="str">
        <f aca="false">IF(O4&gt;About!$B$4,"Yes","No")</f>
        <v>No</v>
      </c>
      <c r="R4" s="3" t="s">
        <v>21</v>
      </c>
      <c r="S4" s="3" t="str">
        <f aca="false">IF(R4="","",INDEX($B$2:$B$231,MATCH(R4,$A$2:$A$231,0))&amp;" "&amp;INDEX($C$2:$C$231,MATCH(R4,$A$2:$A$231,0)))</f>
        <v>Simon Rasmussen</v>
      </c>
      <c r="T4" s="3" t="s">
        <v>34</v>
      </c>
      <c r="U4" s="3" t="str">
        <f aca="false">H4&amp;" | "&amp;G4</f>
        <v>Office of the General Counsel | Executive Assistant</v>
      </c>
    </row>
    <row r="5" customFormat="false" ht="15" hidden="false" customHeight="true" outlineLevel="0" collapsed="false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27</v>
      </c>
      <c r="H5" s="3" t="s">
        <v>53</v>
      </c>
      <c r="I5" s="3"/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  <c r="O5" s="4" t="n">
        <v>39235</v>
      </c>
      <c r="P5" s="3" t="n">
        <f aca="false">ROUND((About!$B$3-O5)/365.25,1)</f>
        <v>19.3</v>
      </c>
      <c r="Q5" s="3" t="str">
        <f aca="false">IF(O5&gt;About!$B$4,"Yes","No")</f>
        <v>No</v>
      </c>
      <c r="R5" s="3" t="s">
        <v>21</v>
      </c>
      <c r="S5" s="3" t="str">
        <f aca="false">IF(R5="","",INDEX($B$2:$B$231,MATCH(R5,$A$2:$A$231,0))&amp;" "&amp;INDEX($C$2:$C$231,MATCH(R5,$A$2:$A$231,0)))</f>
        <v>Simon Rasmussen</v>
      </c>
      <c r="T5" s="3" t="s">
        <v>34</v>
      </c>
      <c r="U5" s="3" t="str">
        <f aca="false">H5&amp;" | "&amp;G5</f>
        <v>Commercial &amp; Transactions | Lawyer - Leadership</v>
      </c>
    </row>
    <row r="6" customFormat="false" ht="15" hidden="false" customHeight="true" outlineLevel="0" collapsed="false">
      <c r="A6" s="3" t="s">
        <v>54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59</v>
      </c>
      <c r="G6" s="3" t="s">
        <v>60</v>
      </c>
      <c r="H6" s="3" t="s">
        <v>53</v>
      </c>
      <c r="I6" s="3"/>
      <c r="J6" s="3" t="s">
        <v>61</v>
      </c>
      <c r="K6" s="3" t="s">
        <v>62</v>
      </c>
      <c r="L6" s="3" t="s">
        <v>63</v>
      </c>
      <c r="M6" s="3" t="s">
        <v>64</v>
      </c>
      <c r="N6" s="3" t="s">
        <v>33</v>
      </c>
      <c r="O6" s="4" t="n">
        <v>43467</v>
      </c>
      <c r="P6" s="3" t="n">
        <f aca="false">ROUND((About!$B$3-O6)/365.25,1)</f>
        <v>7.7</v>
      </c>
      <c r="Q6" s="3" t="str">
        <f aca="false">IF(O6&gt;About!$B$4,"Yes","No")</f>
        <v>No</v>
      </c>
      <c r="R6" s="3" t="s">
        <v>47</v>
      </c>
      <c r="S6" s="3" t="str">
        <f aca="false">IF(R6="","",INDEX($B$2:$B$231,MATCH(R6,$A$2:$A$231,0))&amp;" "&amp;INDEX($C$2:$C$231,MATCH(R6,$A$2:$A$231,0)))</f>
        <v>Aisha Villanueva</v>
      </c>
      <c r="T6" s="3" t="s">
        <v>34</v>
      </c>
      <c r="U6" s="3" t="str">
        <f aca="false">H6&amp;" | "&amp;G6</f>
        <v>Commercial &amp; Transactions | Lawyer - Junior</v>
      </c>
    </row>
    <row r="7" customFormat="false" ht="15" hidden="false" customHeight="true" outlineLevel="0" collapsed="false">
      <c r="A7" s="3" t="s">
        <v>65</v>
      </c>
      <c r="B7" s="3" t="s">
        <v>66</v>
      </c>
      <c r="C7" s="3" t="s">
        <v>67</v>
      </c>
      <c r="D7" s="3" t="s">
        <v>68</v>
      </c>
      <c r="E7" s="3" t="s">
        <v>58</v>
      </c>
      <c r="F7" s="3" t="s">
        <v>59</v>
      </c>
      <c r="G7" s="3" t="s">
        <v>60</v>
      </c>
      <c r="H7" s="3" t="s">
        <v>53</v>
      </c>
      <c r="I7" s="3"/>
      <c r="J7" s="3" t="s">
        <v>61</v>
      </c>
      <c r="K7" s="3" t="s">
        <v>62</v>
      </c>
      <c r="L7" s="3" t="s">
        <v>63</v>
      </c>
      <c r="M7" s="3" t="s">
        <v>64</v>
      </c>
      <c r="N7" s="3" t="s">
        <v>42</v>
      </c>
      <c r="O7" s="4" t="n">
        <v>46024</v>
      </c>
      <c r="P7" s="3" t="n">
        <f aca="false">ROUND((About!$B$3-O7)/365.25,1)</f>
        <v>0.7</v>
      </c>
      <c r="Q7" s="3" t="str">
        <f aca="false">IF(O7&gt;About!$B$4,"Yes","No")</f>
        <v>Yes</v>
      </c>
      <c r="R7" s="3" t="s">
        <v>47</v>
      </c>
      <c r="S7" s="3" t="str">
        <f aca="false">IF(R7="","",INDEX($B$2:$B$231,MATCH(R7,$A$2:$A$231,0))&amp;" "&amp;INDEX($C$2:$C$231,MATCH(R7,$A$2:$A$231,0)))</f>
        <v>Aisha Villanueva</v>
      </c>
      <c r="T7" s="3" t="s">
        <v>34</v>
      </c>
      <c r="U7" s="3" t="str">
        <f aca="false">H7&amp;" | "&amp;G7</f>
        <v>Commercial &amp; Transactions | Lawyer - Junior</v>
      </c>
    </row>
    <row r="8" customFormat="false" ht="15" hidden="false" customHeight="true" outlineLevel="0" collapsed="false">
      <c r="A8" s="3" t="s">
        <v>69</v>
      </c>
      <c r="B8" s="3" t="s">
        <v>70</v>
      </c>
      <c r="C8" s="3" t="s">
        <v>23</v>
      </c>
      <c r="D8" s="3" t="s">
        <v>71</v>
      </c>
      <c r="E8" s="3" t="s">
        <v>72</v>
      </c>
      <c r="F8" s="3" t="s">
        <v>73</v>
      </c>
      <c r="G8" s="3" t="s">
        <v>74</v>
      </c>
      <c r="H8" s="3" t="s">
        <v>53</v>
      </c>
      <c r="I8" s="3"/>
      <c r="J8" s="3" t="s">
        <v>75</v>
      </c>
      <c r="K8" s="3" t="s">
        <v>75</v>
      </c>
      <c r="L8" s="3" t="s">
        <v>76</v>
      </c>
      <c r="M8" s="3" t="s">
        <v>64</v>
      </c>
      <c r="N8" s="3" t="s">
        <v>33</v>
      </c>
      <c r="O8" s="4" t="n">
        <v>37915</v>
      </c>
      <c r="P8" s="3" t="n">
        <f aca="false">ROUND((About!$B$3-O8)/365.25,1)</f>
        <v>22.9</v>
      </c>
      <c r="Q8" s="3" t="str">
        <f aca="false">IF(O8&gt;About!$B$4,"Yes","No")</f>
        <v>No</v>
      </c>
      <c r="R8" s="3" t="s">
        <v>47</v>
      </c>
      <c r="S8" s="3" t="str">
        <f aca="false">IF(R8="","",INDEX($B$2:$B$231,MATCH(R8,$A$2:$A$231,0))&amp;" "&amp;INDEX($C$2:$C$231,MATCH(R8,$A$2:$A$231,0)))</f>
        <v>Aisha Villanueva</v>
      </c>
      <c r="T8" s="3" t="s">
        <v>34</v>
      </c>
      <c r="U8" s="3" t="str">
        <f aca="false">H8&amp;" | "&amp;G8</f>
        <v>Commercial &amp; Transactions | Lawyer - Mid</v>
      </c>
    </row>
    <row r="9" customFormat="false" ht="15" hidden="false" customHeight="true" outlineLevel="0" collapsed="false">
      <c r="A9" s="3" t="s">
        <v>77</v>
      </c>
      <c r="B9" s="3" t="s">
        <v>78</v>
      </c>
      <c r="C9" s="3" t="s">
        <v>79</v>
      </c>
      <c r="D9" s="3" t="s">
        <v>80</v>
      </c>
      <c r="E9" s="3" t="s">
        <v>58</v>
      </c>
      <c r="F9" s="3" t="s">
        <v>59</v>
      </c>
      <c r="G9" s="3" t="s">
        <v>60</v>
      </c>
      <c r="H9" s="3" t="s">
        <v>53</v>
      </c>
      <c r="I9" s="3"/>
      <c r="J9" s="3" t="s">
        <v>61</v>
      </c>
      <c r="K9" s="3" t="s">
        <v>62</v>
      </c>
      <c r="L9" s="3" t="s">
        <v>63</v>
      </c>
      <c r="M9" s="3" t="s">
        <v>64</v>
      </c>
      <c r="N9" s="3" t="s">
        <v>33</v>
      </c>
      <c r="O9" s="4" t="n">
        <v>42366</v>
      </c>
      <c r="P9" s="3" t="n">
        <f aca="false">ROUND((About!$B$3-O9)/365.25,1)</f>
        <v>10.7</v>
      </c>
      <c r="Q9" s="3" t="str">
        <f aca="false">IF(O9&gt;About!$B$4,"Yes","No")</f>
        <v>No</v>
      </c>
      <c r="R9" s="3" t="s">
        <v>47</v>
      </c>
      <c r="S9" s="3" t="str">
        <f aca="false">IF(R9="","",INDEX($B$2:$B$231,MATCH(R9,$A$2:$A$231,0))&amp;" "&amp;INDEX($C$2:$C$231,MATCH(R9,$A$2:$A$231,0)))</f>
        <v>Aisha Villanueva</v>
      </c>
      <c r="T9" s="3" t="s">
        <v>34</v>
      </c>
      <c r="U9" s="3" t="str">
        <f aca="false">H9&amp;" | "&amp;G9</f>
        <v>Commercial &amp; Transactions | Lawyer - Junior</v>
      </c>
    </row>
    <row r="10" customFormat="false" ht="15" hidden="false" customHeight="true" outlineLevel="0" collapsed="false">
      <c r="A10" s="3" t="s">
        <v>81</v>
      </c>
      <c r="B10" s="3" t="s">
        <v>82</v>
      </c>
      <c r="C10" s="3" t="s">
        <v>83</v>
      </c>
      <c r="D10" s="3" t="s">
        <v>84</v>
      </c>
      <c r="E10" s="3" t="s">
        <v>72</v>
      </c>
      <c r="F10" s="3" t="s">
        <v>73</v>
      </c>
      <c r="G10" s="3" t="s">
        <v>74</v>
      </c>
      <c r="H10" s="3" t="s">
        <v>53</v>
      </c>
      <c r="I10" s="3"/>
      <c r="J10" s="3" t="s">
        <v>75</v>
      </c>
      <c r="K10" s="3" t="s">
        <v>75</v>
      </c>
      <c r="L10" s="3" t="s">
        <v>76</v>
      </c>
      <c r="M10" s="3" t="s">
        <v>64</v>
      </c>
      <c r="N10" s="3" t="s">
        <v>33</v>
      </c>
      <c r="O10" s="4" t="n">
        <v>43621</v>
      </c>
      <c r="P10" s="3" t="n">
        <f aca="false">ROUND((About!$B$3-O10)/365.25,1)</f>
        <v>7.3</v>
      </c>
      <c r="Q10" s="3" t="str">
        <f aca="false">IF(O10&gt;About!$B$4,"Yes","No")</f>
        <v>No</v>
      </c>
      <c r="R10" s="3" t="s">
        <v>47</v>
      </c>
      <c r="S10" s="3" t="str">
        <f aca="false">IF(R10="","",INDEX($B$2:$B$231,MATCH(R10,$A$2:$A$231,0))&amp;" "&amp;INDEX($C$2:$C$231,MATCH(R10,$A$2:$A$231,0)))</f>
        <v>Aisha Villanueva</v>
      </c>
      <c r="T10" s="3" t="s">
        <v>34</v>
      </c>
      <c r="U10" s="3" t="str">
        <f aca="false">H10&amp;" | "&amp;G10</f>
        <v>Commercial &amp; Transactions | Lawyer - Mid</v>
      </c>
    </row>
    <row r="11" customFormat="false" ht="15" hidden="false" customHeight="true" outlineLevel="0" collapsed="false">
      <c r="A11" s="3" t="s">
        <v>85</v>
      </c>
      <c r="B11" s="3" t="s">
        <v>86</v>
      </c>
      <c r="C11" s="3" t="s">
        <v>87</v>
      </c>
      <c r="D11" s="3" t="s">
        <v>88</v>
      </c>
      <c r="E11" s="3" t="s">
        <v>72</v>
      </c>
      <c r="F11" s="3" t="s">
        <v>73</v>
      </c>
      <c r="G11" s="3" t="s">
        <v>74</v>
      </c>
      <c r="H11" s="3" t="s">
        <v>53</v>
      </c>
      <c r="I11" s="3"/>
      <c r="J11" s="3" t="s">
        <v>89</v>
      </c>
      <c r="K11" s="3" t="s">
        <v>30</v>
      </c>
      <c r="L11" s="3" t="s">
        <v>31</v>
      </c>
      <c r="M11" s="3" t="s">
        <v>90</v>
      </c>
      <c r="N11" s="3" t="s">
        <v>33</v>
      </c>
      <c r="O11" s="4" t="n">
        <v>44187</v>
      </c>
      <c r="P11" s="3" t="n">
        <f aca="false">ROUND((About!$B$3-O11)/365.25,1)</f>
        <v>5.7</v>
      </c>
      <c r="Q11" s="3" t="str">
        <f aca="false">IF(O11&gt;About!$B$4,"Yes","No")</f>
        <v>No</v>
      </c>
      <c r="R11" s="3" t="s">
        <v>47</v>
      </c>
      <c r="S11" s="3" t="str">
        <f aca="false">IF(R11="","",INDEX($B$2:$B$231,MATCH(R11,$A$2:$A$231,0))&amp;" "&amp;INDEX($C$2:$C$231,MATCH(R11,$A$2:$A$231,0)))</f>
        <v>Aisha Villanueva</v>
      </c>
      <c r="T11" s="3" t="s">
        <v>34</v>
      </c>
      <c r="U11" s="3" t="str">
        <f aca="false">H11&amp;" | "&amp;G11</f>
        <v>Commercial &amp; Transactions | Lawyer - Mid</v>
      </c>
    </row>
    <row r="12" customFormat="false" ht="15" hidden="false" customHeight="true" outlineLevel="0" collapsed="false">
      <c r="A12" s="3" t="s">
        <v>91</v>
      </c>
      <c r="B12" s="3" t="s">
        <v>92</v>
      </c>
      <c r="C12" s="3" t="s">
        <v>93</v>
      </c>
      <c r="D12" s="3" t="s">
        <v>94</v>
      </c>
      <c r="E12" s="3" t="s">
        <v>72</v>
      </c>
      <c r="F12" s="3" t="s">
        <v>73</v>
      </c>
      <c r="G12" s="3" t="s">
        <v>74</v>
      </c>
      <c r="H12" s="3" t="s">
        <v>53</v>
      </c>
      <c r="I12" s="3"/>
      <c r="J12" s="3" t="s">
        <v>95</v>
      </c>
      <c r="K12" s="3" t="s">
        <v>30</v>
      </c>
      <c r="L12" s="3" t="s">
        <v>31</v>
      </c>
      <c r="M12" s="3" t="s">
        <v>90</v>
      </c>
      <c r="N12" s="3" t="s">
        <v>33</v>
      </c>
      <c r="O12" s="4" t="n">
        <v>45996</v>
      </c>
      <c r="P12" s="3" t="n">
        <f aca="false">ROUND((About!$B$3-O12)/365.25,1)</f>
        <v>0.8</v>
      </c>
      <c r="Q12" s="3" t="str">
        <f aca="false">IF(O12&gt;About!$B$4,"Yes","No")</f>
        <v>Yes</v>
      </c>
      <c r="R12" s="3" t="s">
        <v>47</v>
      </c>
      <c r="S12" s="3" t="str">
        <f aca="false">IF(R12="","",INDEX($B$2:$B$231,MATCH(R12,$A$2:$A$231,0))&amp;" "&amp;INDEX($C$2:$C$231,MATCH(R12,$A$2:$A$231,0)))</f>
        <v>Aisha Villanueva</v>
      </c>
      <c r="T12" s="3" t="s">
        <v>34</v>
      </c>
      <c r="U12" s="3" t="str">
        <f aca="false">H12&amp;" | "&amp;G12</f>
        <v>Commercial &amp; Transactions | Lawyer - Mid</v>
      </c>
    </row>
    <row r="13" customFormat="false" ht="15" hidden="false" customHeight="true" outlineLevel="0" collapsed="false">
      <c r="A13" s="3" t="s">
        <v>96</v>
      </c>
      <c r="B13" s="3" t="s">
        <v>97</v>
      </c>
      <c r="C13" s="3" t="s">
        <v>98</v>
      </c>
      <c r="D13" s="3" t="s">
        <v>99</v>
      </c>
      <c r="E13" s="3" t="s">
        <v>72</v>
      </c>
      <c r="F13" s="3" t="s">
        <v>73</v>
      </c>
      <c r="G13" s="3" t="s">
        <v>74</v>
      </c>
      <c r="H13" s="3" t="s">
        <v>53</v>
      </c>
      <c r="I13" s="3"/>
      <c r="J13" s="3" t="s">
        <v>29</v>
      </c>
      <c r="K13" s="3" t="s">
        <v>30</v>
      </c>
      <c r="L13" s="3" t="s">
        <v>31</v>
      </c>
      <c r="M13" s="3" t="s">
        <v>32</v>
      </c>
      <c r="N13" s="3" t="s">
        <v>42</v>
      </c>
      <c r="O13" s="4" t="n">
        <v>43382</v>
      </c>
      <c r="P13" s="3" t="n">
        <f aca="false">ROUND((About!$B$3-O13)/365.25,1)</f>
        <v>7.9</v>
      </c>
      <c r="Q13" s="3" t="str">
        <f aca="false">IF(O13&gt;About!$B$4,"Yes","No")</f>
        <v>No</v>
      </c>
      <c r="R13" s="3" t="s">
        <v>47</v>
      </c>
      <c r="S13" s="3" t="str">
        <f aca="false">IF(R13="","",INDEX($B$2:$B$231,MATCH(R13,$A$2:$A$231,0))&amp;" "&amp;INDEX($C$2:$C$231,MATCH(R13,$A$2:$A$231,0)))</f>
        <v>Aisha Villanueva</v>
      </c>
      <c r="T13" s="3" t="s">
        <v>34</v>
      </c>
      <c r="U13" s="3" t="str">
        <f aca="false">H13&amp;" | "&amp;G13</f>
        <v>Commercial &amp; Transactions | Lawyer - Mid</v>
      </c>
    </row>
    <row r="14" customFormat="false" ht="15" hidden="false" customHeight="true" outlineLevel="0" collapsed="false">
      <c r="A14" s="3" t="s">
        <v>100</v>
      </c>
      <c r="B14" s="3" t="s">
        <v>101</v>
      </c>
      <c r="C14" s="3" t="s">
        <v>102</v>
      </c>
      <c r="D14" s="3" t="s">
        <v>103</v>
      </c>
      <c r="E14" s="3" t="s">
        <v>58</v>
      </c>
      <c r="F14" s="3" t="s">
        <v>59</v>
      </c>
      <c r="G14" s="3" t="s">
        <v>60</v>
      </c>
      <c r="H14" s="3" t="s">
        <v>53</v>
      </c>
      <c r="I14" s="3"/>
      <c r="J14" s="3" t="s">
        <v>29</v>
      </c>
      <c r="K14" s="3" t="s">
        <v>30</v>
      </c>
      <c r="L14" s="3" t="s">
        <v>31</v>
      </c>
      <c r="M14" s="3" t="s">
        <v>32</v>
      </c>
      <c r="N14" s="3" t="s">
        <v>42</v>
      </c>
      <c r="O14" s="4" t="n">
        <v>39388</v>
      </c>
      <c r="P14" s="3" t="n">
        <f aca="false">ROUND((About!$B$3-O14)/365.25,1)</f>
        <v>18.9</v>
      </c>
      <c r="Q14" s="3" t="str">
        <f aca="false">IF(O14&gt;About!$B$4,"Yes","No")</f>
        <v>No</v>
      </c>
      <c r="R14" s="3" t="s">
        <v>47</v>
      </c>
      <c r="S14" s="3" t="str">
        <f aca="false">IF(R14="","",INDEX($B$2:$B$231,MATCH(R14,$A$2:$A$231,0))&amp;" "&amp;INDEX($C$2:$C$231,MATCH(R14,$A$2:$A$231,0)))</f>
        <v>Aisha Villanueva</v>
      </c>
      <c r="T14" s="3" t="s">
        <v>34</v>
      </c>
      <c r="U14" s="3" t="str">
        <f aca="false">H14&amp;" | "&amp;G14</f>
        <v>Commercial &amp; Transactions | Lawyer - Junior</v>
      </c>
    </row>
    <row r="15" customFormat="false" ht="15" hidden="false" customHeight="true" outlineLevel="0" collapsed="false">
      <c r="A15" s="3" t="s">
        <v>104</v>
      </c>
      <c r="B15" s="3" t="s">
        <v>105</v>
      </c>
      <c r="C15" s="3" t="s">
        <v>106</v>
      </c>
      <c r="D15" s="3" t="s">
        <v>107</v>
      </c>
      <c r="E15" s="3" t="s">
        <v>72</v>
      </c>
      <c r="F15" s="3" t="s">
        <v>73</v>
      </c>
      <c r="G15" s="3" t="s">
        <v>74</v>
      </c>
      <c r="H15" s="3" t="s">
        <v>53</v>
      </c>
      <c r="I15" s="3"/>
      <c r="J15" s="3" t="s">
        <v>29</v>
      </c>
      <c r="K15" s="3" t="s">
        <v>30</v>
      </c>
      <c r="L15" s="3" t="s">
        <v>31</v>
      </c>
      <c r="M15" s="3" t="s">
        <v>32</v>
      </c>
      <c r="N15" s="3" t="s">
        <v>42</v>
      </c>
      <c r="O15" s="4" t="n">
        <v>42079</v>
      </c>
      <c r="P15" s="3" t="n">
        <f aca="false">ROUND((About!$B$3-O15)/365.25,1)</f>
        <v>11.5</v>
      </c>
      <c r="Q15" s="3" t="str">
        <f aca="false">IF(O15&gt;About!$B$4,"Yes","No")</f>
        <v>No</v>
      </c>
      <c r="R15" s="3" t="s">
        <v>47</v>
      </c>
      <c r="S15" s="3" t="str">
        <f aca="false">IF(R15="","",INDEX($B$2:$B$231,MATCH(R15,$A$2:$A$231,0))&amp;" "&amp;INDEX($C$2:$C$231,MATCH(R15,$A$2:$A$231,0)))</f>
        <v>Aisha Villanueva</v>
      </c>
      <c r="T15" s="3" t="s">
        <v>34</v>
      </c>
      <c r="U15" s="3" t="str">
        <f aca="false">H15&amp;" | "&amp;G15</f>
        <v>Commercial &amp; Transactions | Lawyer - Mid</v>
      </c>
    </row>
    <row r="16" customFormat="false" ht="15" hidden="false" customHeight="true" outlineLevel="0" collapsed="false">
      <c r="A16" s="3" t="s">
        <v>108</v>
      </c>
      <c r="B16" s="3" t="s">
        <v>105</v>
      </c>
      <c r="C16" s="3" t="s">
        <v>109</v>
      </c>
      <c r="D16" s="3" t="s">
        <v>110</v>
      </c>
      <c r="E16" s="3" t="s">
        <v>58</v>
      </c>
      <c r="F16" s="3" t="s">
        <v>59</v>
      </c>
      <c r="G16" s="3" t="s">
        <v>60</v>
      </c>
      <c r="H16" s="3" t="s">
        <v>53</v>
      </c>
      <c r="I16" s="3"/>
      <c r="J16" s="3" t="s">
        <v>111</v>
      </c>
      <c r="K16" s="3" t="s">
        <v>30</v>
      </c>
      <c r="L16" s="3" t="s">
        <v>31</v>
      </c>
      <c r="M16" s="3" t="s">
        <v>90</v>
      </c>
      <c r="N16" s="3" t="s">
        <v>33</v>
      </c>
      <c r="O16" s="4" t="n">
        <v>46096</v>
      </c>
      <c r="P16" s="3" t="n">
        <f aca="false">ROUND((About!$B$3-O16)/365.25,1)</f>
        <v>0.5</v>
      </c>
      <c r="Q16" s="3" t="str">
        <f aca="false">IF(O16&gt;About!$B$4,"Yes","No")</f>
        <v>Yes</v>
      </c>
      <c r="R16" s="3" t="s">
        <v>47</v>
      </c>
      <c r="S16" s="3" t="str">
        <f aca="false">IF(R16="","",INDEX($B$2:$B$231,MATCH(R16,$A$2:$A$231,0))&amp;" "&amp;INDEX($C$2:$C$231,MATCH(R16,$A$2:$A$231,0)))</f>
        <v>Aisha Villanueva</v>
      </c>
      <c r="T16" s="3" t="s">
        <v>34</v>
      </c>
      <c r="U16" s="3" t="str">
        <f aca="false">H16&amp;" | "&amp;G16</f>
        <v>Commercial &amp; Transactions | Lawyer - Junior</v>
      </c>
    </row>
    <row r="17" customFormat="false" ht="15" hidden="false" customHeight="true" outlineLevel="0" collapsed="false">
      <c r="A17" s="3" t="s">
        <v>112</v>
      </c>
      <c r="B17" s="3" t="s">
        <v>113</v>
      </c>
      <c r="C17" s="3" t="s">
        <v>114</v>
      </c>
      <c r="D17" s="3" t="s">
        <v>115</v>
      </c>
      <c r="E17" s="3" t="s">
        <v>116</v>
      </c>
      <c r="F17" s="3" t="s">
        <v>117</v>
      </c>
      <c r="G17" s="3" t="s">
        <v>118</v>
      </c>
      <c r="H17" s="3" t="s">
        <v>53</v>
      </c>
      <c r="I17" s="3"/>
      <c r="J17" s="3" t="s">
        <v>89</v>
      </c>
      <c r="K17" s="3" t="s">
        <v>30</v>
      </c>
      <c r="L17" s="3" t="s">
        <v>31</v>
      </c>
      <c r="M17" s="3" t="s">
        <v>90</v>
      </c>
      <c r="N17" s="3" t="s">
        <v>42</v>
      </c>
      <c r="O17" s="4" t="n">
        <v>45034</v>
      </c>
      <c r="P17" s="3" t="n">
        <f aca="false">ROUND((About!$B$3-O17)/365.25,1)</f>
        <v>3.4</v>
      </c>
      <c r="Q17" s="3" t="str">
        <f aca="false">IF(O17&gt;About!$B$4,"Yes","No")</f>
        <v>No</v>
      </c>
      <c r="R17" s="3" t="s">
        <v>47</v>
      </c>
      <c r="S17" s="3" t="str">
        <f aca="false">IF(R17="","",INDEX($B$2:$B$231,MATCH(R17,$A$2:$A$231,0))&amp;" "&amp;INDEX($C$2:$C$231,MATCH(R17,$A$2:$A$231,0)))</f>
        <v>Aisha Villanueva</v>
      </c>
      <c r="T17" s="3" t="s">
        <v>34</v>
      </c>
      <c r="U17" s="3" t="str">
        <f aca="false">H17&amp;" | "&amp;G17</f>
        <v>Commercial &amp; Transactions | Lawyer - Senior</v>
      </c>
    </row>
    <row r="18" customFormat="false" ht="15" hidden="false" customHeight="true" outlineLevel="0" collapsed="false">
      <c r="A18" s="3" t="s">
        <v>119</v>
      </c>
      <c r="B18" s="3" t="s">
        <v>120</v>
      </c>
      <c r="C18" s="3" t="s">
        <v>121</v>
      </c>
      <c r="D18" s="3" t="s">
        <v>122</v>
      </c>
      <c r="E18" s="3" t="s">
        <v>58</v>
      </c>
      <c r="F18" s="3" t="s">
        <v>59</v>
      </c>
      <c r="G18" s="3" t="s">
        <v>60</v>
      </c>
      <c r="H18" s="3" t="s">
        <v>53</v>
      </c>
      <c r="I18" s="3"/>
      <c r="J18" s="3" t="s">
        <v>123</v>
      </c>
      <c r="K18" s="3" t="s">
        <v>30</v>
      </c>
      <c r="L18" s="3" t="s">
        <v>31</v>
      </c>
      <c r="M18" s="3" t="s">
        <v>90</v>
      </c>
      <c r="N18" s="3" t="s">
        <v>124</v>
      </c>
      <c r="O18" s="4" t="n">
        <v>42473</v>
      </c>
      <c r="P18" s="3" t="n">
        <f aca="false">ROUND((About!$B$3-O18)/365.25,1)</f>
        <v>10.4</v>
      </c>
      <c r="Q18" s="3" t="str">
        <f aca="false">IF(O18&gt;About!$B$4,"Yes","No")</f>
        <v>No</v>
      </c>
      <c r="R18" s="3" t="s">
        <v>47</v>
      </c>
      <c r="S18" s="3" t="str">
        <f aca="false">IF(R18="","",INDEX($B$2:$B$231,MATCH(R18,$A$2:$A$231,0))&amp;" "&amp;INDEX($C$2:$C$231,MATCH(R18,$A$2:$A$231,0)))</f>
        <v>Aisha Villanueva</v>
      </c>
      <c r="T18" s="3" t="s">
        <v>34</v>
      </c>
      <c r="U18" s="3" t="str">
        <f aca="false">H18&amp;" | "&amp;G18</f>
        <v>Commercial &amp; Transactions | Lawyer - Junior</v>
      </c>
    </row>
    <row r="19" customFormat="false" ht="15" hidden="false" customHeight="true" outlineLevel="0" collapsed="false">
      <c r="A19" s="3" t="s">
        <v>125</v>
      </c>
      <c r="B19" s="3" t="s">
        <v>126</v>
      </c>
      <c r="C19" s="3" t="s">
        <v>127</v>
      </c>
      <c r="D19" s="3" t="s">
        <v>128</v>
      </c>
      <c r="E19" s="3" t="s">
        <v>72</v>
      </c>
      <c r="F19" s="3" t="s">
        <v>73</v>
      </c>
      <c r="G19" s="3" t="s">
        <v>74</v>
      </c>
      <c r="H19" s="3" t="s">
        <v>53</v>
      </c>
      <c r="I19" s="3"/>
      <c r="J19" s="3" t="s">
        <v>29</v>
      </c>
      <c r="K19" s="3" t="s">
        <v>30</v>
      </c>
      <c r="L19" s="3" t="s">
        <v>31</v>
      </c>
      <c r="M19" s="3" t="s">
        <v>32</v>
      </c>
      <c r="N19" s="3" t="s">
        <v>33</v>
      </c>
      <c r="O19" s="4" t="n">
        <v>45989</v>
      </c>
      <c r="P19" s="3" t="n">
        <f aca="false">ROUND((About!$B$3-O19)/365.25,1)</f>
        <v>0.8</v>
      </c>
      <c r="Q19" s="3" t="str">
        <f aca="false">IF(O19&gt;About!$B$4,"Yes","No")</f>
        <v>Yes</v>
      </c>
      <c r="R19" s="3" t="s">
        <v>47</v>
      </c>
      <c r="S19" s="3" t="str">
        <f aca="false">IF(R19="","",INDEX($B$2:$B$231,MATCH(R19,$A$2:$A$231,0))&amp;" "&amp;INDEX($C$2:$C$231,MATCH(R19,$A$2:$A$231,0)))</f>
        <v>Aisha Villanueva</v>
      </c>
      <c r="T19" s="3" t="s">
        <v>34</v>
      </c>
      <c r="U19" s="3" t="str">
        <f aca="false">H19&amp;" | "&amp;G19</f>
        <v>Commercial &amp; Transactions | Lawyer - Mid</v>
      </c>
    </row>
    <row r="20" customFormat="false" ht="15" hidden="false" customHeight="true" outlineLevel="0" collapsed="false">
      <c r="A20" s="3" t="s">
        <v>129</v>
      </c>
      <c r="B20" s="3" t="s">
        <v>130</v>
      </c>
      <c r="C20" s="3" t="s">
        <v>131</v>
      </c>
      <c r="D20" s="3" t="s">
        <v>132</v>
      </c>
      <c r="E20" s="3" t="s">
        <v>72</v>
      </c>
      <c r="F20" s="3" t="s">
        <v>73</v>
      </c>
      <c r="G20" s="3" t="s">
        <v>74</v>
      </c>
      <c r="H20" s="3" t="s">
        <v>53</v>
      </c>
      <c r="I20" s="3"/>
      <c r="J20" s="3" t="s">
        <v>29</v>
      </c>
      <c r="K20" s="3" t="s">
        <v>30</v>
      </c>
      <c r="L20" s="3" t="s">
        <v>31</v>
      </c>
      <c r="M20" s="3" t="s">
        <v>32</v>
      </c>
      <c r="N20" s="3" t="s">
        <v>42</v>
      </c>
      <c r="O20" s="4" t="n">
        <v>44161</v>
      </c>
      <c r="P20" s="3" t="n">
        <f aca="false">ROUND((About!$B$3-O20)/365.25,1)</f>
        <v>5.8</v>
      </c>
      <c r="Q20" s="3" t="str">
        <f aca="false">IF(O20&gt;About!$B$4,"Yes","No")</f>
        <v>No</v>
      </c>
      <c r="R20" s="3" t="s">
        <v>47</v>
      </c>
      <c r="S20" s="3" t="str">
        <f aca="false">IF(R20="","",INDEX($B$2:$B$231,MATCH(R20,$A$2:$A$231,0))&amp;" "&amp;INDEX($C$2:$C$231,MATCH(R20,$A$2:$A$231,0)))</f>
        <v>Aisha Villanueva</v>
      </c>
      <c r="T20" s="3" t="s">
        <v>34</v>
      </c>
      <c r="U20" s="3" t="str">
        <f aca="false">H20&amp;" | "&amp;G20</f>
        <v>Commercial &amp; Transactions | Lawyer - Mid</v>
      </c>
    </row>
    <row r="21" customFormat="false" ht="15" hidden="false" customHeight="true" outlineLevel="0" collapsed="false">
      <c r="A21" s="3" t="s">
        <v>133</v>
      </c>
      <c r="B21" s="3" t="s">
        <v>134</v>
      </c>
      <c r="C21" s="3" t="s">
        <v>135</v>
      </c>
      <c r="D21" s="3" t="s">
        <v>136</v>
      </c>
      <c r="E21" s="3" t="s">
        <v>58</v>
      </c>
      <c r="F21" s="3" t="s">
        <v>59</v>
      </c>
      <c r="G21" s="3" t="s">
        <v>60</v>
      </c>
      <c r="H21" s="3" t="s">
        <v>53</v>
      </c>
      <c r="I21" s="3"/>
      <c r="J21" s="3" t="s">
        <v>137</v>
      </c>
      <c r="K21" s="3" t="s">
        <v>30</v>
      </c>
      <c r="L21" s="3" t="s">
        <v>31</v>
      </c>
      <c r="M21" s="3" t="s">
        <v>90</v>
      </c>
      <c r="N21" s="3" t="s">
        <v>33</v>
      </c>
      <c r="O21" s="4" t="n">
        <v>44105</v>
      </c>
      <c r="P21" s="3" t="n">
        <f aca="false">ROUND((About!$B$3-O21)/365.25,1)</f>
        <v>5.9</v>
      </c>
      <c r="Q21" s="3" t="str">
        <f aca="false">IF(O21&gt;About!$B$4,"Yes","No")</f>
        <v>No</v>
      </c>
      <c r="R21" s="3" t="s">
        <v>47</v>
      </c>
      <c r="S21" s="3" t="str">
        <f aca="false">IF(R21="","",INDEX($B$2:$B$231,MATCH(R21,$A$2:$A$231,0))&amp;" "&amp;INDEX($C$2:$C$231,MATCH(R21,$A$2:$A$231,0)))</f>
        <v>Aisha Villanueva</v>
      </c>
      <c r="T21" s="3" t="s">
        <v>34</v>
      </c>
      <c r="U21" s="3" t="str">
        <f aca="false">H21&amp;" | "&amp;G21</f>
        <v>Commercial &amp; Transactions | Lawyer - Junior</v>
      </c>
    </row>
    <row r="22" customFormat="false" ht="15" hidden="false" customHeight="true" outlineLevel="0" collapsed="false">
      <c r="A22" s="3" t="s">
        <v>138</v>
      </c>
      <c r="B22" s="3" t="s">
        <v>120</v>
      </c>
      <c r="C22" s="3" t="s">
        <v>139</v>
      </c>
      <c r="D22" s="3" t="s">
        <v>140</v>
      </c>
      <c r="E22" s="3" t="s">
        <v>116</v>
      </c>
      <c r="F22" s="3" t="s">
        <v>117</v>
      </c>
      <c r="G22" s="3" t="s">
        <v>118</v>
      </c>
      <c r="H22" s="3" t="s">
        <v>53</v>
      </c>
      <c r="I22" s="3"/>
      <c r="J22" s="3" t="s">
        <v>29</v>
      </c>
      <c r="K22" s="3" t="s">
        <v>30</v>
      </c>
      <c r="L22" s="3" t="s">
        <v>31</v>
      </c>
      <c r="M22" s="3" t="s">
        <v>32</v>
      </c>
      <c r="N22" s="3" t="s">
        <v>33</v>
      </c>
      <c r="O22" s="4" t="n">
        <v>44770</v>
      </c>
      <c r="P22" s="3" t="n">
        <f aca="false">ROUND((About!$B$3-O22)/365.25,1)</f>
        <v>4.1</v>
      </c>
      <c r="Q22" s="3" t="str">
        <f aca="false">IF(O22&gt;About!$B$4,"Yes","No")</f>
        <v>No</v>
      </c>
      <c r="R22" s="3" t="s">
        <v>47</v>
      </c>
      <c r="S22" s="3" t="str">
        <f aca="false">IF(R22="","",INDEX($B$2:$B$231,MATCH(R22,$A$2:$A$231,0))&amp;" "&amp;INDEX($C$2:$C$231,MATCH(R22,$A$2:$A$231,0)))</f>
        <v>Aisha Villanueva</v>
      </c>
      <c r="T22" s="3" t="s">
        <v>34</v>
      </c>
      <c r="U22" s="3" t="str">
        <f aca="false">H22&amp;" | "&amp;G22</f>
        <v>Commercial &amp; Transactions | Lawyer - Senior</v>
      </c>
    </row>
    <row r="23" customFormat="false" ht="15" hidden="false" customHeight="true" outlineLevel="0" collapsed="false">
      <c r="A23" s="3" t="s">
        <v>141</v>
      </c>
      <c r="B23" s="3" t="s">
        <v>86</v>
      </c>
      <c r="C23" s="3" t="s">
        <v>142</v>
      </c>
      <c r="D23" s="3" t="s">
        <v>143</v>
      </c>
      <c r="E23" s="3" t="s">
        <v>116</v>
      </c>
      <c r="F23" s="3" t="s">
        <v>117</v>
      </c>
      <c r="G23" s="3" t="s">
        <v>118</v>
      </c>
      <c r="H23" s="3" t="s">
        <v>53</v>
      </c>
      <c r="I23" s="3"/>
      <c r="J23" s="3" t="s">
        <v>123</v>
      </c>
      <c r="K23" s="3" t="s">
        <v>30</v>
      </c>
      <c r="L23" s="3" t="s">
        <v>31</v>
      </c>
      <c r="M23" s="3" t="s">
        <v>90</v>
      </c>
      <c r="N23" s="3" t="s">
        <v>33</v>
      </c>
      <c r="O23" s="4" t="n">
        <v>45316</v>
      </c>
      <c r="P23" s="3" t="n">
        <f aca="false">ROUND((About!$B$3-O23)/365.25,1)</f>
        <v>2.6</v>
      </c>
      <c r="Q23" s="3" t="str">
        <f aca="false">IF(O23&gt;About!$B$4,"Yes","No")</f>
        <v>No</v>
      </c>
      <c r="R23" s="3" t="s">
        <v>47</v>
      </c>
      <c r="S23" s="3" t="str">
        <f aca="false">IF(R23="","",INDEX($B$2:$B$231,MATCH(R23,$A$2:$A$231,0))&amp;" "&amp;INDEX($C$2:$C$231,MATCH(R23,$A$2:$A$231,0)))</f>
        <v>Aisha Villanueva</v>
      </c>
      <c r="T23" s="3" t="s">
        <v>34</v>
      </c>
      <c r="U23" s="3" t="str">
        <f aca="false">H23&amp;" | "&amp;G23</f>
        <v>Commercial &amp; Transactions | Lawyer - Senior</v>
      </c>
    </row>
    <row r="24" customFormat="false" ht="15" hidden="false" customHeight="true" outlineLevel="0" collapsed="false">
      <c r="A24" s="3" t="s">
        <v>144</v>
      </c>
      <c r="B24" s="3" t="s">
        <v>145</v>
      </c>
      <c r="C24" s="3" t="s">
        <v>146</v>
      </c>
      <c r="D24" s="3" t="s">
        <v>147</v>
      </c>
      <c r="E24" s="3" t="s">
        <v>72</v>
      </c>
      <c r="F24" s="3" t="s">
        <v>73</v>
      </c>
      <c r="G24" s="3" t="s">
        <v>74</v>
      </c>
      <c r="H24" s="3" t="s">
        <v>53</v>
      </c>
      <c r="I24" s="3"/>
      <c r="J24" s="3" t="s">
        <v>148</v>
      </c>
      <c r="K24" s="3" t="s">
        <v>30</v>
      </c>
      <c r="L24" s="3" t="s">
        <v>31</v>
      </c>
      <c r="M24" s="3" t="s">
        <v>90</v>
      </c>
      <c r="N24" s="3" t="s">
        <v>33</v>
      </c>
      <c r="O24" s="4" t="n">
        <v>45214</v>
      </c>
      <c r="P24" s="3" t="n">
        <f aca="false">ROUND((About!$B$3-O24)/365.25,1)</f>
        <v>2.9</v>
      </c>
      <c r="Q24" s="3" t="str">
        <f aca="false">IF(O24&gt;About!$B$4,"Yes","No")</f>
        <v>No</v>
      </c>
      <c r="R24" s="3" t="s">
        <v>47</v>
      </c>
      <c r="S24" s="3" t="str">
        <f aca="false">IF(R24="","",INDEX($B$2:$B$231,MATCH(R24,$A$2:$A$231,0))&amp;" "&amp;INDEX($C$2:$C$231,MATCH(R24,$A$2:$A$231,0)))</f>
        <v>Aisha Villanueva</v>
      </c>
      <c r="T24" s="3" t="s">
        <v>34</v>
      </c>
      <c r="U24" s="3" t="str">
        <f aca="false">H24&amp;" | "&amp;G24</f>
        <v>Commercial &amp; Transactions | Lawyer - Mid</v>
      </c>
    </row>
    <row r="25" customFormat="false" ht="15" hidden="false" customHeight="true" outlineLevel="0" collapsed="false">
      <c r="A25" s="3" t="s">
        <v>149</v>
      </c>
      <c r="B25" s="3" t="s">
        <v>150</v>
      </c>
      <c r="C25" s="3" t="s">
        <v>151</v>
      </c>
      <c r="D25" s="3" t="s">
        <v>152</v>
      </c>
      <c r="E25" s="3" t="s">
        <v>58</v>
      </c>
      <c r="F25" s="3" t="s">
        <v>59</v>
      </c>
      <c r="G25" s="3" t="s">
        <v>60</v>
      </c>
      <c r="H25" s="3" t="s">
        <v>53</v>
      </c>
      <c r="I25" s="3"/>
      <c r="J25" s="3" t="s">
        <v>29</v>
      </c>
      <c r="K25" s="3" t="s">
        <v>30</v>
      </c>
      <c r="L25" s="3" t="s">
        <v>31</v>
      </c>
      <c r="M25" s="3" t="s">
        <v>32</v>
      </c>
      <c r="N25" s="3" t="s">
        <v>33</v>
      </c>
      <c r="O25" s="4" t="n">
        <v>46090</v>
      </c>
      <c r="P25" s="3" t="n">
        <f aca="false">ROUND((About!$B$3-O25)/365.25,1)</f>
        <v>0.5</v>
      </c>
      <c r="Q25" s="3" t="str">
        <f aca="false">IF(O25&gt;About!$B$4,"Yes","No")</f>
        <v>Yes</v>
      </c>
      <c r="R25" s="3" t="s">
        <v>47</v>
      </c>
      <c r="S25" s="3" t="str">
        <f aca="false">IF(R25="","",INDEX($B$2:$B$231,MATCH(R25,$A$2:$A$231,0))&amp;" "&amp;INDEX($C$2:$C$231,MATCH(R25,$A$2:$A$231,0)))</f>
        <v>Aisha Villanueva</v>
      </c>
      <c r="T25" s="3" t="s">
        <v>34</v>
      </c>
      <c r="U25" s="3" t="str">
        <f aca="false">H25&amp;" | "&amp;G25</f>
        <v>Commercial &amp; Transactions | Lawyer - Junior</v>
      </c>
    </row>
    <row r="26" customFormat="false" ht="15" hidden="false" customHeight="true" outlineLevel="0" collapsed="false">
      <c r="A26" s="3" t="s">
        <v>153</v>
      </c>
      <c r="B26" s="3" t="s">
        <v>154</v>
      </c>
      <c r="C26" s="3" t="s">
        <v>155</v>
      </c>
      <c r="D26" s="3" t="s">
        <v>156</v>
      </c>
      <c r="E26" s="3" t="s">
        <v>72</v>
      </c>
      <c r="F26" s="3" t="s">
        <v>73</v>
      </c>
      <c r="G26" s="3" t="s">
        <v>74</v>
      </c>
      <c r="H26" s="3" t="s">
        <v>53</v>
      </c>
      <c r="I26" s="3"/>
      <c r="J26" s="3" t="s">
        <v>29</v>
      </c>
      <c r="K26" s="3" t="s">
        <v>30</v>
      </c>
      <c r="L26" s="3" t="s">
        <v>31</v>
      </c>
      <c r="M26" s="3" t="s">
        <v>32</v>
      </c>
      <c r="N26" s="3" t="s">
        <v>124</v>
      </c>
      <c r="O26" s="4" t="n">
        <v>40554</v>
      </c>
      <c r="P26" s="3" t="n">
        <f aca="false">ROUND((About!$B$3-O26)/365.25,1)</f>
        <v>15.7</v>
      </c>
      <c r="Q26" s="3" t="str">
        <f aca="false">IF(O26&gt;About!$B$4,"Yes","No")</f>
        <v>No</v>
      </c>
      <c r="R26" s="3" t="s">
        <v>47</v>
      </c>
      <c r="S26" s="3" t="str">
        <f aca="false">IF(R26="","",INDEX($B$2:$B$231,MATCH(R26,$A$2:$A$231,0))&amp;" "&amp;INDEX($C$2:$C$231,MATCH(R26,$A$2:$A$231,0)))</f>
        <v>Aisha Villanueva</v>
      </c>
      <c r="T26" s="3" t="s">
        <v>34</v>
      </c>
      <c r="U26" s="3" t="str">
        <f aca="false">H26&amp;" | "&amp;G26</f>
        <v>Commercial &amp; Transactions | Lawyer - Mid</v>
      </c>
    </row>
    <row r="27" customFormat="false" ht="15" hidden="false" customHeight="true" outlineLevel="0" collapsed="false">
      <c r="A27" s="3" t="s">
        <v>157</v>
      </c>
      <c r="B27" s="3" t="s">
        <v>158</v>
      </c>
      <c r="C27" s="3" t="s">
        <v>159</v>
      </c>
      <c r="D27" s="3" t="s">
        <v>160</v>
      </c>
      <c r="E27" s="3" t="s">
        <v>116</v>
      </c>
      <c r="F27" s="3" t="s">
        <v>117</v>
      </c>
      <c r="G27" s="3" t="s">
        <v>118</v>
      </c>
      <c r="H27" s="3" t="s">
        <v>53</v>
      </c>
      <c r="I27" s="3"/>
      <c r="J27" s="3" t="s">
        <v>29</v>
      </c>
      <c r="K27" s="3" t="s">
        <v>30</v>
      </c>
      <c r="L27" s="3" t="s">
        <v>31</v>
      </c>
      <c r="M27" s="3" t="s">
        <v>32</v>
      </c>
      <c r="N27" s="3" t="s">
        <v>33</v>
      </c>
      <c r="O27" s="4" t="n">
        <v>41625</v>
      </c>
      <c r="P27" s="3" t="n">
        <f aca="false">ROUND((About!$B$3-O27)/365.25,1)</f>
        <v>12.7</v>
      </c>
      <c r="Q27" s="3" t="str">
        <f aca="false">IF(O27&gt;About!$B$4,"Yes","No")</f>
        <v>No</v>
      </c>
      <c r="R27" s="3" t="s">
        <v>47</v>
      </c>
      <c r="S27" s="3" t="str">
        <f aca="false">IF(R27="","",INDEX($B$2:$B$231,MATCH(R27,$A$2:$A$231,0))&amp;" "&amp;INDEX($C$2:$C$231,MATCH(R27,$A$2:$A$231,0)))</f>
        <v>Aisha Villanueva</v>
      </c>
      <c r="T27" s="3" t="s">
        <v>34</v>
      </c>
      <c r="U27" s="3" t="str">
        <f aca="false">H27&amp;" | "&amp;G27</f>
        <v>Commercial &amp; Transactions | Lawyer - Senior</v>
      </c>
    </row>
    <row r="28" customFormat="false" ht="15" hidden="false" customHeight="true" outlineLevel="0" collapsed="false">
      <c r="A28" s="3" t="s">
        <v>161</v>
      </c>
      <c r="B28" s="3" t="s">
        <v>120</v>
      </c>
      <c r="C28" s="3" t="s">
        <v>162</v>
      </c>
      <c r="D28" s="3" t="s">
        <v>163</v>
      </c>
      <c r="E28" s="3" t="s">
        <v>58</v>
      </c>
      <c r="F28" s="3" t="s">
        <v>59</v>
      </c>
      <c r="G28" s="3" t="s">
        <v>60</v>
      </c>
      <c r="H28" s="3" t="s">
        <v>53</v>
      </c>
      <c r="I28" s="3"/>
      <c r="J28" s="3" t="s">
        <v>29</v>
      </c>
      <c r="K28" s="3" t="s">
        <v>30</v>
      </c>
      <c r="L28" s="3" t="s">
        <v>31</v>
      </c>
      <c r="M28" s="3" t="s">
        <v>32</v>
      </c>
      <c r="N28" s="3" t="s">
        <v>33</v>
      </c>
      <c r="O28" s="4" t="n">
        <v>41891</v>
      </c>
      <c r="P28" s="3" t="n">
        <f aca="false">ROUND((About!$B$3-O28)/365.25,1)</f>
        <v>12</v>
      </c>
      <c r="Q28" s="3" t="str">
        <f aca="false">IF(O28&gt;About!$B$4,"Yes","No")</f>
        <v>No</v>
      </c>
      <c r="R28" s="3" t="s">
        <v>47</v>
      </c>
      <c r="S28" s="3" t="str">
        <f aca="false">IF(R28="","",INDEX($B$2:$B$231,MATCH(R28,$A$2:$A$231,0))&amp;" "&amp;INDEX($C$2:$C$231,MATCH(R28,$A$2:$A$231,0)))</f>
        <v>Aisha Villanueva</v>
      </c>
      <c r="T28" s="3" t="s">
        <v>34</v>
      </c>
      <c r="U28" s="3" t="str">
        <f aca="false">H28&amp;" | "&amp;G28</f>
        <v>Commercial &amp; Transactions | Lawyer - Junior</v>
      </c>
    </row>
    <row r="29" customFormat="false" ht="15" hidden="false" customHeight="true" outlineLevel="0" collapsed="false">
      <c r="A29" s="3" t="s">
        <v>164</v>
      </c>
      <c r="B29" s="3" t="s">
        <v>165</v>
      </c>
      <c r="C29" s="3" t="s">
        <v>93</v>
      </c>
      <c r="D29" s="3" t="s">
        <v>166</v>
      </c>
      <c r="E29" s="3" t="s">
        <v>116</v>
      </c>
      <c r="F29" s="3" t="s">
        <v>117</v>
      </c>
      <c r="G29" s="3" t="s">
        <v>118</v>
      </c>
      <c r="H29" s="3" t="s">
        <v>53</v>
      </c>
      <c r="I29" s="3"/>
      <c r="J29" s="3" t="s">
        <v>29</v>
      </c>
      <c r="K29" s="3" t="s">
        <v>30</v>
      </c>
      <c r="L29" s="3" t="s">
        <v>31</v>
      </c>
      <c r="M29" s="3" t="s">
        <v>32</v>
      </c>
      <c r="N29" s="3" t="s">
        <v>42</v>
      </c>
      <c r="O29" s="4" t="n">
        <v>41418</v>
      </c>
      <c r="P29" s="3" t="n">
        <f aca="false">ROUND((About!$B$3-O29)/365.25,1)</f>
        <v>13.3</v>
      </c>
      <c r="Q29" s="3" t="str">
        <f aca="false">IF(O29&gt;About!$B$4,"Yes","No")</f>
        <v>No</v>
      </c>
      <c r="R29" s="3" t="s">
        <v>47</v>
      </c>
      <c r="S29" s="3" t="str">
        <f aca="false">IF(R29="","",INDEX($B$2:$B$231,MATCH(R29,$A$2:$A$231,0))&amp;" "&amp;INDEX($C$2:$C$231,MATCH(R29,$A$2:$A$231,0)))</f>
        <v>Aisha Villanueva</v>
      </c>
      <c r="T29" s="3" t="s">
        <v>34</v>
      </c>
      <c r="U29" s="3" t="str">
        <f aca="false">H29&amp;" | "&amp;G29</f>
        <v>Commercial &amp; Transactions | Lawyer - Senior</v>
      </c>
    </row>
    <row r="30" customFormat="false" ht="15" hidden="false" customHeight="true" outlineLevel="0" collapsed="false">
      <c r="A30" s="3" t="s">
        <v>167</v>
      </c>
      <c r="B30" s="3" t="s">
        <v>168</v>
      </c>
      <c r="C30" s="3" t="s">
        <v>169</v>
      </c>
      <c r="D30" s="3" t="s">
        <v>170</v>
      </c>
      <c r="E30" s="3" t="s">
        <v>72</v>
      </c>
      <c r="F30" s="3" t="s">
        <v>73</v>
      </c>
      <c r="G30" s="3" t="s">
        <v>74</v>
      </c>
      <c r="H30" s="3" t="s">
        <v>53</v>
      </c>
      <c r="I30" s="3"/>
      <c r="J30" s="3" t="s">
        <v>29</v>
      </c>
      <c r="K30" s="3" t="s">
        <v>30</v>
      </c>
      <c r="L30" s="3" t="s">
        <v>31</v>
      </c>
      <c r="M30" s="3" t="s">
        <v>32</v>
      </c>
      <c r="N30" s="3" t="s">
        <v>33</v>
      </c>
      <c r="O30" s="4" t="n">
        <v>46033</v>
      </c>
      <c r="P30" s="3" t="n">
        <f aca="false">ROUND((About!$B$3-O30)/365.25,1)</f>
        <v>0.7</v>
      </c>
      <c r="Q30" s="3" t="str">
        <f aca="false">IF(O30&gt;About!$B$4,"Yes","No")</f>
        <v>Yes</v>
      </c>
      <c r="R30" s="3" t="s">
        <v>47</v>
      </c>
      <c r="S30" s="3" t="str">
        <f aca="false">IF(R30="","",INDEX($B$2:$B$231,MATCH(R30,$A$2:$A$231,0))&amp;" "&amp;INDEX($C$2:$C$231,MATCH(R30,$A$2:$A$231,0)))</f>
        <v>Aisha Villanueva</v>
      </c>
      <c r="T30" s="3" t="s">
        <v>34</v>
      </c>
      <c r="U30" s="3" t="str">
        <f aca="false">H30&amp;" | "&amp;G30</f>
        <v>Commercial &amp; Transactions | Lawyer - Mid</v>
      </c>
    </row>
    <row r="31" customFormat="false" ht="15" hidden="false" customHeight="true" outlineLevel="0" collapsed="false">
      <c r="A31" s="3" t="s">
        <v>171</v>
      </c>
      <c r="B31" s="3" t="s">
        <v>105</v>
      </c>
      <c r="C31" s="3" t="s">
        <v>172</v>
      </c>
      <c r="D31" s="3" t="s">
        <v>173</v>
      </c>
      <c r="E31" s="3" t="s">
        <v>72</v>
      </c>
      <c r="F31" s="3" t="s">
        <v>73</v>
      </c>
      <c r="G31" s="3" t="s">
        <v>74</v>
      </c>
      <c r="H31" s="3" t="s">
        <v>53</v>
      </c>
      <c r="I31" s="3"/>
      <c r="J31" s="3" t="s">
        <v>29</v>
      </c>
      <c r="K31" s="3" t="s">
        <v>30</v>
      </c>
      <c r="L31" s="3" t="s">
        <v>31</v>
      </c>
      <c r="M31" s="3" t="s">
        <v>32</v>
      </c>
      <c r="N31" s="3" t="s">
        <v>33</v>
      </c>
      <c r="O31" s="4" t="n">
        <v>43110</v>
      </c>
      <c r="P31" s="3" t="n">
        <f aca="false">ROUND((About!$B$3-O31)/365.25,1)</f>
        <v>8.7</v>
      </c>
      <c r="Q31" s="3" t="str">
        <f aca="false">IF(O31&gt;About!$B$4,"Yes","No")</f>
        <v>No</v>
      </c>
      <c r="R31" s="3" t="s">
        <v>47</v>
      </c>
      <c r="S31" s="3" t="str">
        <f aca="false">IF(R31="","",INDEX($B$2:$B$231,MATCH(R31,$A$2:$A$231,0))&amp;" "&amp;INDEX($C$2:$C$231,MATCH(R31,$A$2:$A$231,0)))</f>
        <v>Aisha Villanueva</v>
      </c>
      <c r="T31" s="3" t="s">
        <v>34</v>
      </c>
      <c r="U31" s="3" t="str">
        <f aca="false">H31&amp;" | "&amp;G31</f>
        <v>Commercial &amp; Transactions | Lawyer - Mid</v>
      </c>
    </row>
    <row r="32" customFormat="false" ht="15" hidden="false" customHeight="true" outlineLevel="0" collapsed="false">
      <c r="A32" s="3" t="s">
        <v>174</v>
      </c>
      <c r="B32" s="3" t="s">
        <v>22</v>
      </c>
      <c r="C32" s="3" t="s">
        <v>127</v>
      </c>
      <c r="D32" s="3" t="s">
        <v>175</v>
      </c>
      <c r="E32" s="3" t="s">
        <v>72</v>
      </c>
      <c r="F32" s="3" t="s">
        <v>73</v>
      </c>
      <c r="G32" s="3" t="s">
        <v>74</v>
      </c>
      <c r="H32" s="3" t="s">
        <v>53</v>
      </c>
      <c r="I32" s="3"/>
      <c r="J32" s="3" t="s">
        <v>95</v>
      </c>
      <c r="K32" s="3" t="s">
        <v>30</v>
      </c>
      <c r="L32" s="3" t="s">
        <v>31</v>
      </c>
      <c r="M32" s="3" t="s">
        <v>90</v>
      </c>
      <c r="N32" s="3" t="s">
        <v>33</v>
      </c>
      <c r="O32" s="4" t="n">
        <v>39038</v>
      </c>
      <c r="P32" s="3" t="n">
        <f aca="false">ROUND((About!$B$3-O32)/365.25,1)</f>
        <v>19.8</v>
      </c>
      <c r="Q32" s="3" t="str">
        <f aca="false">IF(O32&gt;About!$B$4,"Yes","No")</f>
        <v>No</v>
      </c>
      <c r="R32" s="3" t="s">
        <v>47</v>
      </c>
      <c r="S32" s="3" t="str">
        <f aca="false">IF(R32="","",INDEX($B$2:$B$231,MATCH(R32,$A$2:$A$231,0))&amp;" "&amp;INDEX($C$2:$C$231,MATCH(R32,$A$2:$A$231,0)))</f>
        <v>Aisha Villanueva</v>
      </c>
      <c r="T32" s="3" t="s">
        <v>34</v>
      </c>
      <c r="U32" s="3" t="str">
        <f aca="false">H32&amp;" | "&amp;G32</f>
        <v>Commercial &amp; Transactions | Lawyer - Mid</v>
      </c>
    </row>
    <row r="33" customFormat="false" ht="15" hidden="false" customHeight="true" outlineLevel="0" collapsed="false">
      <c r="A33" s="3" t="s">
        <v>176</v>
      </c>
      <c r="B33" s="3" t="s">
        <v>177</v>
      </c>
      <c r="C33" s="3" t="s">
        <v>151</v>
      </c>
      <c r="D33" s="3" t="s">
        <v>178</v>
      </c>
      <c r="E33" s="3" t="s">
        <v>58</v>
      </c>
      <c r="F33" s="3" t="s">
        <v>59</v>
      </c>
      <c r="G33" s="3" t="s">
        <v>60</v>
      </c>
      <c r="H33" s="3" t="s">
        <v>53</v>
      </c>
      <c r="I33" s="3"/>
      <c r="J33" s="3" t="s">
        <v>89</v>
      </c>
      <c r="K33" s="3" t="s">
        <v>30</v>
      </c>
      <c r="L33" s="3" t="s">
        <v>31</v>
      </c>
      <c r="M33" s="3" t="s">
        <v>90</v>
      </c>
      <c r="N33" s="3" t="s">
        <v>33</v>
      </c>
      <c r="O33" s="4" t="n">
        <v>45882</v>
      </c>
      <c r="P33" s="3" t="n">
        <f aca="false">ROUND((About!$B$3-O33)/365.25,1)</f>
        <v>1.1</v>
      </c>
      <c r="Q33" s="3" t="str">
        <f aca="false">IF(O33&gt;About!$B$4,"Yes","No")</f>
        <v>Yes</v>
      </c>
      <c r="R33" s="3" t="s">
        <v>47</v>
      </c>
      <c r="S33" s="3" t="str">
        <f aca="false">IF(R33="","",INDEX($B$2:$B$231,MATCH(R33,$A$2:$A$231,0))&amp;" "&amp;INDEX($C$2:$C$231,MATCH(R33,$A$2:$A$231,0)))</f>
        <v>Aisha Villanueva</v>
      </c>
      <c r="T33" s="3" t="s">
        <v>34</v>
      </c>
      <c r="U33" s="3" t="str">
        <f aca="false">H33&amp;" | "&amp;G33</f>
        <v>Commercial &amp; Transactions | Lawyer - Junior</v>
      </c>
    </row>
    <row r="34" customFormat="false" ht="15" hidden="false" customHeight="true" outlineLevel="0" collapsed="false">
      <c r="A34" s="3" t="s">
        <v>179</v>
      </c>
      <c r="B34" s="3" t="s">
        <v>180</v>
      </c>
      <c r="C34" s="3" t="s">
        <v>181</v>
      </c>
      <c r="D34" s="3" t="s">
        <v>182</v>
      </c>
      <c r="E34" s="3" t="s">
        <v>116</v>
      </c>
      <c r="F34" s="3" t="s">
        <v>117</v>
      </c>
      <c r="G34" s="3" t="s">
        <v>118</v>
      </c>
      <c r="H34" s="3" t="s">
        <v>53</v>
      </c>
      <c r="I34" s="3"/>
      <c r="J34" s="3" t="s">
        <v>29</v>
      </c>
      <c r="K34" s="3" t="s">
        <v>30</v>
      </c>
      <c r="L34" s="3" t="s">
        <v>31</v>
      </c>
      <c r="M34" s="3" t="s">
        <v>32</v>
      </c>
      <c r="N34" s="3" t="s">
        <v>33</v>
      </c>
      <c r="O34" s="4" t="n">
        <v>44970</v>
      </c>
      <c r="P34" s="3" t="n">
        <f aca="false">ROUND((About!$B$3-O34)/365.25,1)</f>
        <v>3.6</v>
      </c>
      <c r="Q34" s="3" t="str">
        <f aca="false">IF(O34&gt;About!$B$4,"Yes","No")</f>
        <v>No</v>
      </c>
      <c r="R34" s="3" t="s">
        <v>47</v>
      </c>
      <c r="S34" s="3" t="str">
        <f aca="false">IF(R34="","",INDEX($B$2:$B$231,MATCH(R34,$A$2:$A$231,0))&amp;" "&amp;INDEX($C$2:$C$231,MATCH(R34,$A$2:$A$231,0)))</f>
        <v>Aisha Villanueva</v>
      </c>
      <c r="T34" s="3" t="s">
        <v>34</v>
      </c>
      <c r="U34" s="3" t="str">
        <f aca="false">H34&amp;" | "&amp;G34</f>
        <v>Commercial &amp; Transactions | Lawyer - Senior</v>
      </c>
    </row>
    <row r="35" customFormat="false" ht="15" hidden="false" customHeight="true" outlineLevel="0" collapsed="false">
      <c r="A35" s="3" t="s">
        <v>183</v>
      </c>
      <c r="B35" s="3" t="s">
        <v>44</v>
      </c>
      <c r="C35" s="3" t="s">
        <v>184</v>
      </c>
      <c r="D35" s="3" t="s">
        <v>185</v>
      </c>
      <c r="E35" s="3" t="s">
        <v>116</v>
      </c>
      <c r="F35" s="3" t="s">
        <v>117</v>
      </c>
      <c r="G35" s="3" t="s">
        <v>118</v>
      </c>
      <c r="H35" s="3" t="s">
        <v>53</v>
      </c>
      <c r="I35" s="3"/>
      <c r="J35" s="3" t="s">
        <v>111</v>
      </c>
      <c r="K35" s="3" t="s">
        <v>30</v>
      </c>
      <c r="L35" s="3" t="s">
        <v>31</v>
      </c>
      <c r="M35" s="3" t="s">
        <v>90</v>
      </c>
      <c r="N35" s="3" t="s">
        <v>33</v>
      </c>
      <c r="O35" s="4" t="n">
        <v>37512</v>
      </c>
      <c r="P35" s="3" t="n">
        <f aca="false">ROUND((About!$B$3-O35)/365.25,1)</f>
        <v>24</v>
      </c>
      <c r="Q35" s="3" t="str">
        <f aca="false">IF(O35&gt;About!$B$4,"Yes","No")</f>
        <v>No</v>
      </c>
      <c r="R35" s="3" t="s">
        <v>47</v>
      </c>
      <c r="S35" s="3" t="str">
        <f aca="false">IF(R35="","",INDEX($B$2:$B$231,MATCH(R35,$A$2:$A$231,0))&amp;" "&amp;INDEX($C$2:$C$231,MATCH(R35,$A$2:$A$231,0)))</f>
        <v>Aisha Villanueva</v>
      </c>
      <c r="T35" s="3" t="s">
        <v>34</v>
      </c>
      <c r="U35" s="3" t="str">
        <f aca="false">H35&amp;" | "&amp;G35</f>
        <v>Commercial &amp; Transactions | Lawyer - Senior</v>
      </c>
    </row>
    <row r="36" customFormat="false" ht="15" hidden="false" customHeight="true" outlineLevel="0" collapsed="false">
      <c r="A36" s="3" t="s">
        <v>186</v>
      </c>
      <c r="B36" s="3" t="s">
        <v>187</v>
      </c>
      <c r="C36" s="3" t="s">
        <v>188</v>
      </c>
      <c r="D36" s="3" t="s">
        <v>189</v>
      </c>
      <c r="E36" s="3" t="s">
        <v>58</v>
      </c>
      <c r="F36" s="3" t="s">
        <v>59</v>
      </c>
      <c r="G36" s="3" t="s">
        <v>60</v>
      </c>
      <c r="H36" s="3" t="s">
        <v>53</v>
      </c>
      <c r="I36" s="3"/>
      <c r="J36" s="3" t="s">
        <v>29</v>
      </c>
      <c r="K36" s="3" t="s">
        <v>30</v>
      </c>
      <c r="L36" s="3" t="s">
        <v>31</v>
      </c>
      <c r="M36" s="3" t="s">
        <v>32</v>
      </c>
      <c r="N36" s="3" t="s">
        <v>33</v>
      </c>
      <c r="O36" s="4" t="n">
        <v>38780</v>
      </c>
      <c r="P36" s="3" t="n">
        <f aca="false">ROUND((About!$B$3-O36)/365.25,1)</f>
        <v>20.5</v>
      </c>
      <c r="Q36" s="3" t="str">
        <f aca="false">IF(O36&gt;About!$B$4,"Yes","No")</f>
        <v>No</v>
      </c>
      <c r="R36" s="3" t="s">
        <v>47</v>
      </c>
      <c r="S36" s="3" t="str">
        <f aca="false">IF(R36="","",INDEX($B$2:$B$231,MATCH(R36,$A$2:$A$231,0))&amp;" "&amp;INDEX($C$2:$C$231,MATCH(R36,$A$2:$A$231,0)))</f>
        <v>Aisha Villanueva</v>
      </c>
      <c r="T36" s="3" t="s">
        <v>34</v>
      </c>
      <c r="U36" s="3" t="str">
        <f aca="false">H36&amp;" | "&amp;G36</f>
        <v>Commercial &amp; Transactions | Lawyer - Junior</v>
      </c>
    </row>
    <row r="37" customFormat="false" ht="15" hidden="false" customHeight="true" outlineLevel="0" collapsed="false">
      <c r="A37" s="3" t="s">
        <v>190</v>
      </c>
      <c r="B37" s="3" t="s">
        <v>191</v>
      </c>
      <c r="C37" s="3" t="s">
        <v>192</v>
      </c>
      <c r="D37" s="3" t="s">
        <v>193</v>
      </c>
      <c r="E37" s="3" t="s">
        <v>194</v>
      </c>
      <c r="F37" s="3" t="s">
        <v>195</v>
      </c>
      <c r="G37" s="3" t="s">
        <v>196</v>
      </c>
      <c r="H37" s="3" t="s">
        <v>53</v>
      </c>
      <c r="I37" s="3" t="s">
        <v>197</v>
      </c>
      <c r="J37" s="3" t="s">
        <v>29</v>
      </c>
      <c r="K37" s="3" t="s">
        <v>30</v>
      </c>
      <c r="L37" s="3" t="s">
        <v>31</v>
      </c>
      <c r="M37" s="3" t="s">
        <v>32</v>
      </c>
      <c r="N37" s="3" t="s">
        <v>33</v>
      </c>
      <c r="O37" s="4" t="n">
        <v>45192</v>
      </c>
      <c r="P37" s="3" t="n">
        <f aca="false">ROUND((About!$B$3-O37)/365.25,1)</f>
        <v>3</v>
      </c>
      <c r="Q37" s="3" t="str">
        <f aca="false">IF(O37&gt;About!$B$4,"Yes","No")</f>
        <v>No</v>
      </c>
      <c r="R37" s="3" t="s">
        <v>198</v>
      </c>
      <c r="S37" s="3" t="str">
        <f aca="false">IF(R37="","",INDEX($B$2:$B$231,MATCH(R37,$A$2:$A$231,0))&amp;" "&amp;INDEX($C$2:$C$231,MATCH(R37,$A$2:$A$231,0)))</f>
        <v>Ada Paredes</v>
      </c>
      <c r="T37" s="3" t="s">
        <v>34</v>
      </c>
      <c r="U37" s="3" t="str">
        <f aca="false">H37&amp;" | "&amp;G37</f>
        <v>Commercial &amp; Transactions | Paraprofessional</v>
      </c>
    </row>
    <row r="38" customFormat="false" ht="15" hidden="false" customHeight="true" outlineLevel="0" collapsed="false">
      <c r="A38" s="3" t="s">
        <v>199</v>
      </c>
      <c r="B38" s="3" t="s">
        <v>200</v>
      </c>
      <c r="C38" s="3" t="s">
        <v>201</v>
      </c>
      <c r="D38" s="3" t="s">
        <v>202</v>
      </c>
      <c r="E38" s="3" t="s">
        <v>194</v>
      </c>
      <c r="F38" s="3" t="s">
        <v>195</v>
      </c>
      <c r="G38" s="3" t="s">
        <v>196</v>
      </c>
      <c r="H38" s="3" t="s">
        <v>53</v>
      </c>
      <c r="I38" s="3" t="s">
        <v>197</v>
      </c>
      <c r="J38" s="3" t="s">
        <v>148</v>
      </c>
      <c r="K38" s="3" t="s">
        <v>30</v>
      </c>
      <c r="L38" s="3" t="s">
        <v>31</v>
      </c>
      <c r="M38" s="3" t="s">
        <v>90</v>
      </c>
      <c r="N38" s="3" t="s">
        <v>42</v>
      </c>
      <c r="O38" s="4" t="n">
        <v>40963</v>
      </c>
      <c r="P38" s="3" t="n">
        <f aca="false">ROUND((About!$B$3-O38)/365.25,1)</f>
        <v>14.5</v>
      </c>
      <c r="Q38" s="3" t="str">
        <f aca="false">IF(O38&gt;About!$B$4,"Yes","No")</f>
        <v>No</v>
      </c>
      <c r="R38" s="3" t="s">
        <v>198</v>
      </c>
      <c r="S38" s="3" t="str">
        <f aca="false">IF(R38="","",INDEX($B$2:$B$231,MATCH(R38,$A$2:$A$231,0))&amp;" "&amp;INDEX($C$2:$C$231,MATCH(R38,$A$2:$A$231,0)))</f>
        <v>Ada Paredes</v>
      </c>
      <c r="T38" s="3" t="s">
        <v>34</v>
      </c>
      <c r="U38" s="3" t="str">
        <f aca="false">H38&amp;" | "&amp;G38</f>
        <v>Commercial &amp; Transactions | Paraprofessional</v>
      </c>
    </row>
    <row r="39" customFormat="false" ht="15" hidden="false" customHeight="true" outlineLevel="0" collapsed="false">
      <c r="A39" s="3" t="s">
        <v>203</v>
      </c>
      <c r="B39" s="3" t="s">
        <v>204</v>
      </c>
      <c r="C39" s="3" t="s">
        <v>205</v>
      </c>
      <c r="D39" s="3" t="s">
        <v>206</v>
      </c>
      <c r="E39" s="3" t="s">
        <v>194</v>
      </c>
      <c r="F39" s="3" t="s">
        <v>195</v>
      </c>
      <c r="G39" s="3" t="s">
        <v>196</v>
      </c>
      <c r="H39" s="3" t="s">
        <v>53</v>
      </c>
      <c r="I39" s="3" t="s">
        <v>197</v>
      </c>
      <c r="J39" s="3" t="s">
        <v>111</v>
      </c>
      <c r="K39" s="3" t="s">
        <v>30</v>
      </c>
      <c r="L39" s="3" t="s">
        <v>31</v>
      </c>
      <c r="M39" s="3" t="s">
        <v>90</v>
      </c>
      <c r="N39" s="3" t="s">
        <v>33</v>
      </c>
      <c r="O39" s="4" t="n">
        <v>43237</v>
      </c>
      <c r="P39" s="3" t="n">
        <f aca="false">ROUND((About!$B$3-O39)/365.25,1)</f>
        <v>8.3</v>
      </c>
      <c r="Q39" s="3" t="str">
        <f aca="false">IF(O39&gt;About!$B$4,"Yes","No")</f>
        <v>No</v>
      </c>
      <c r="R39" s="3" t="s">
        <v>198</v>
      </c>
      <c r="S39" s="3" t="str">
        <f aca="false">IF(R39="","",INDEX($B$2:$B$231,MATCH(R39,$A$2:$A$231,0))&amp;" "&amp;INDEX($C$2:$C$231,MATCH(R39,$A$2:$A$231,0)))</f>
        <v>Ada Paredes</v>
      </c>
      <c r="T39" s="3" t="s">
        <v>34</v>
      </c>
      <c r="U39" s="3" t="str">
        <f aca="false">H39&amp;" | "&amp;G39</f>
        <v>Commercial &amp; Transactions | Paraprofessional</v>
      </c>
    </row>
    <row r="40" customFormat="false" ht="15" hidden="false" customHeight="true" outlineLevel="0" collapsed="false">
      <c r="A40" s="3" t="s">
        <v>207</v>
      </c>
      <c r="B40" s="3" t="s">
        <v>208</v>
      </c>
      <c r="C40" s="3" t="s">
        <v>209</v>
      </c>
      <c r="D40" s="3" t="s">
        <v>210</v>
      </c>
      <c r="E40" s="3" t="s">
        <v>194</v>
      </c>
      <c r="F40" s="3" t="s">
        <v>195</v>
      </c>
      <c r="G40" s="3" t="s">
        <v>196</v>
      </c>
      <c r="H40" s="3" t="s">
        <v>53</v>
      </c>
      <c r="I40" s="3" t="s">
        <v>197</v>
      </c>
      <c r="J40" s="3" t="s">
        <v>111</v>
      </c>
      <c r="K40" s="3" t="s">
        <v>30</v>
      </c>
      <c r="L40" s="3" t="s">
        <v>31</v>
      </c>
      <c r="M40" s="3" t="s">
        <v>90</v>
      </c>
      <c r="N40" s="3" t="s">
        <v>33</v>
      </c>
      <c r="O40" s="4" t="n">
        <v>46018</v>
      </c>
      <c r="P40" s="3" t="n">
        <f aca="false">ROUND((About!$B$3-O40)/365.25,1)</f>
        <v>0.7</v>
      </c>
      <c r="Q40" s="3" t="str">
        <f aca="false">IF(O40&gt;About!$B$4,"Yes","No")</f>
        <v>Yes</v>
      </c>
      <c r="R40" s="3" t="s">
        <v>198</v>
      </c>
      <c r="S40" s="3" t="str">
        <f aca="false">IF(R40="","",INDEX($B$2:$B$231,MATCH(R40,$A$2:$A$231,0))&amp;" "&amp;INDEX($C$2:$C$231,MATCH(R40,$A$2:$A$231,0)))</f>
        <v>Ada Paredes</v>
      </c>
      <c r="T40" s="3" t="s">
        <v>34</v>
      </c>
      <c r="U40" s="3" t="str">
        <f aca="false">H40&amp;" | "&amp;G40</f>
        <v>Commercial &amp; Transactions | Paraprofessional</v>
      </c>
    </row>
    <row r="41" customFormat="false" ht="15" hidden="false" customHeight="true" outlineLevel="0" collapsed="false">
      <c r="A41" s="3" t="s">
        <v>211</v>
      </c>
      <c r="B41" s="3" t="s">
        <v>212</v>
      </c>
      <c r="C41" s="3" t="s">
        <v>213</v>
      </c>
      <c r="D41" s="3" t="s">
        <v>214</v>
      </c>
      <c r="E41" s="3" t="s">
        <v>194</v>
      </c>
      <c r="F41" s="3" t="s">
        <v>195</v>
      </c>
      <c r="G41" s="3" t="s">
        <v>196</v>
      </c>
      <c r="H41" s="3" t="s">
        <v>53</v>
      </c>
      <c r="I41" s="3" t="s">
        <v>197</v>
      </c>
      <c r="J41" s="3" t="s">
        <v>61</v>
      </c>
      <c r="K41" s="3" t="s">
        <v>62</v>
      </c>
      <c r="L41" s="3" t="s">
        <v>63</v>
      </c>
      <c r="M41" s="3" t="s">
        <v>64</v>
      </c>
      <c r="N41" s="3" t="s">
        <v>33</v>
      </c>
      <c r="O41" s="4" t="n">
        <v>41726</v>
      </c>
      <c r="P41" s="3" t="n">
        <f aca="false">ROUND((About!$B$3-O41)/365.25,1)</f>
        <v>12.5</v>
      </c>
      <c r="Q41" s="3" t="str">
        <f aca="false">IF(O41&gt;About!$B$4,"Yes","No")</f>
        <v>No</v>
      </c>
      <c r="R41" s="3" t="s">
        <v>198</v>
      </c>
      <c r="S41" s="3" t="str">
        <f aca="false">IF(R41="","",INDEX($B$2:$B$231,MATCH(R41,$A$2:$A$231,0))&amp;" "&amp;INDEX($C$2:$C$231,MATCH(R41,$A$2:$A$231,0)))</f>
        <v>Ada Paredes</v>
      </c>
      <c r="T41" s="3" t="s">
        <v>34</v>
      </c>
      <c r="U41" s="3" t="str">
        <f aca="false">H41&amp;" | "&amp;G41</f>
        <v>Commercial &amp; Transactions | Paraprofessional</v>
      </c>
    </row>
    <row r="42" customFormat="false" ht="15" hidden="false" customHeight="true" outlineLevel="0" collapsed="false">
      <c r="A42" s="3" t="s">
        <v>215</v>
      </c>
      <c r="B42" s="3" t="s">
        <v>92</v>
      </c>
      <c r="C42" s="3" t="s">
        <v>216</v>
      </c>
      <c r="D42" s="3" t="s">
        <v>217</v>
      </c>
      <c r="E42" s="3" t="s">
        <v>218</v>
      </c>
      <c r="F42" s="3" t="s">
        <v>219</v>
      </c>
      <c r="G42" s="3" t="s">
        <v>220</v>
      </c>
      <c r="H42" s="3" t="s">
        <v>53</v>
      </c>
      <c r="I42" s="3" t="s">
        <v>221</v>
      </c>
      <c r="J42" s="3" t="s">
        <v>29</v>
      </c>
      <c r="K42" s="3" t="s">
        <v>30</v>
      </c>
      <c r="L42" s="3" t="s">
        <v>31</v>
      </c>
      <c r="M42" s="3" t="s">
        <v>32</v>
      </c>
      <c r="N42" s="3" t="s">
        <v>33</v>
      </c>
      <c r="O42" s="4" t="n">
        <v>43046</v>
      </c>
      <c r="P42" s="3" t="n">
        <f aca="false">ROUND((About!$B$3-O42)/365.25,1)</f>
        <v>8.8</v>
      </c>
      <c r="Q42" s="3" t="str">
        <f aca="false">IF(O42&gt;About!$B$4,"Yes","No")</f>
        <v>No</v>
      </c>
      <c r="R42" s="3" t="s">
        <v>47</v>
      </c>
      <c r="S42" s="3" t="str">
        <f aca="false">IF(R42="","",INDEX($B$2:$B$231,MATCH(R42,$A$2:$A$231,0))&amp;" "&amp;INDEX($C$2:$C$231,MATCH(R42,$A$2:$A$231,0)))</f>
        <v>Aisha Villanueva</v>
      </c>
      <c r="T42" s="3" t="s">
        <v>34</v>
      </c>
      <c r="U42" s="3" t="str">
        <f aca="false">H42&amp;" | "&amp;G42</f>
        <v>Commercial &amp; Transactions | Paraprofessional - Lead</v>
      </c>
    </row>
    <row r="43" customFormat="false" ht="15" hidden="false" customHeight="true" outlineLevel="0" collapsed="false">
      <c r="A43" s="3" t="s">
        <v>222</v>
      </c>
      <c r="B43" s="3" t="s">
        <v>223</v>
      </c>
      <c r="C43" s="3" t="s">
        <v>224</v>
      </c>
      <c r="D43" s="3" t="s">
        <v>225</v>
      </c>
      <c r="E43" s="3" t="s">
        <v>226</v>
      </c>
      <c r="F43" s="3" t="s">
        <v>195</v>
      </c>
      <c r="G43" s="3" t="s">
        <v>196</v>
      </c>
      <c r="H43" s="3" t="s">
        <v>53</v>
      </c>
      <c r="I43" s="3" t="s">
        <v>221</v>
      </c>
      <c r="J43" s="3" t="s">
        <v>29</v>
      </c>
      <c r="K43" s="3" t="s">
        <v>30</v>
      </c>
      <c r="L43" s="3" t="s">
        <v>31</v>
      </c>
      <c r="M43" s="3" t="s">
        <v>32</v>
      </c>
      <c r="N43" s="3" t="s">
        <v>42</v>
      </c>
      <c r="O43" s="4" t="n">
        <v>43760</v>
      </c>
      <c r="P43" s="3" t="n">
        <f aca="false">ROUND((About!$B$3-O43)/365.25,1)</f>
        <v>6.9</v>
      </c>
      <c r="Q43" s="3" t="str">
        <f aca="false">IF(O43&gt;About!$B$4,"Yes","No")</f>
        <v>No</v>
      </c>
      <c r="R43" s="3" t="s">
        <v>215</v>
      </c>
      <c r="S43" s="3" t="str">
        <f aca="false">IF(R43="","",INDEX($B$2:$B$231,MATCH(R43,$A$2:$A$231,0))&amp;" "&amp;INDEX($C$2:$C$231,MATCH(R43,$A$2:$A$231,0)))</f>
        <v>Daniel Ellison</v>
      </c>
      <c r="T43" s="3" t="s">
        <v>34</v>
      </c>
      <c r="U43" s="3" t="str">
        <f aca="false">H43&amp;" | "&amp;G43</f>
        <v>Commercial &amp; Transactions | Paraprofessional</v>
      </c>
    </row>
    <row r="44" customFormat="false" ht="15" hidden="false" customHeight="true" outlineLevel="0" collapsed="false">
      <c r="A44" s="3" t="s">
        <v>227</v>
      </c>
      <c r="B44" s="3" t="s">
        <v>228</v>
      </c>
      <c r="C44" s="3" t="s">
        <v>23</v>
      </c>
      <c r="D44" s="3" t="s">
        <v>229</v>
      </c>
      <c r="E44" s="3" t="s">
        <v>226</v>
      </c>
      <c r="F44" s="3" t="s">
        <v>195</v>
      </c>
      <c r="G44" s="3" t="s">
        <v>196</v>
      </c>
      <c r="H44" s="3" t="s">
        <v>53</v>
      </c>
      <c r="I44" s="3" t="s">
        <v>221</v>
      </c>
      <c r="J44" s="3" t="s">
        <v>89</v>
      </c>
      <c r="K44" s="3" t="s">
        <v>30</v>
      </c>
      <c r="L44" s="3" t="s">
        <v>31</v>
      </c>
      <c r="M44" s="3" t="s">
        <v>90</v>
      </c>
      <c r="N44" s="3" t="s">
        <v>33</v>
      </c>
      <c r="O44" s="4" t="n">
        <v>41605</v>
      </c>
      <c r="P44" s="3" t="n">
        <f aca="false">ROUND((About!$B$3-O44)/365.25,1)</f>
        <v>12.8</v>
      </c>
      <c r="Q44" s="3" t="str">
        <f aca="false">IF(O44&gt;About!$B$4,"Yes","No")</f>
        <v>No</v>
      </c>
      <c r="R44" s="3" t="s">
        <v>215</v>
      </c>
      <c r="S44" s="3" t="str">
        <f aca="false">IF(R44="","",INDEX($B$2:$B$231,MATCH(R44,$A$2:$A$231,0))&amp;" "&amp;INDEX($C$2:$C$231,MATCH(R44,$A$2:$A$231,0)))</f>
        <v>Daniel Ellison</v>
      </c>
      <c r="T44" s="3" t="s">
        <v>34</v>
      </c>
      <c r="U44" s="3" t="str">
        <f aca="false">H44&amp;" | "&amp;G44</f>
        <v>Commercial &amp; Transactions | Paraprofessional</v>
      </c>
    </row>
    <row r="45" customFormat="false" ht="15" hidden="false" customHeight="true" outlineLevel="0" collapsed="false">
      <c r="A45" s="3" t="s">
        <v>230</v>
      </c>
      <c r="B45" s="3" t="s">
        <v>231</v>
      </c>
      <c r="C45" s="3" t="s">
        <v>172</v>
      </c>
      <c r="D45" s="3" t="s">
        <v>232</v>
      </c>
      <c r="E45" s="3" t="s">
        <v>226</v>
      </c>
      <c r="F45" s="3" t="s">
        <v>195</v>
      </c>
      <c r="G45" s="3" t="s">
        <v>196</v>
      </c>
      <c r="H45" s="3" t="s">
        <v>53</v>
      </c>
      <c r="I45" s="3" t="s">
        <v>221</v>
      </c>
      <c r="J45" s="3" t="s">
        <v>111</v>
      </c>
      <c r="K45" s="3" t="s">
        <v>30</v>
      </c>
      <c r="L45" s="3" t="s">
        <v>31</v>
      </c>
      <c r="M45" s="3" t="s">
        <v>90</v>
      </c>
      <c r="N45" s="3" t="s">
        <v>124</v>
      </c>
      <c r="O45" s="4" t="n">
        <v>45673</v>
      </c>
      <c r="P45" s="3" t="n">
        <f aca="false">ROUND((About!$B$3-O45)/365.25,1)</f>
        <v>1.6</v>
      </c>
      <c r="Q45" s="3" t="str">
        <f aca="false">IF(O45&gt;About!$B$4,"Yes","No")</f>
        <v>Yes</v>
      </c>
      <c r="R45" s="3" t="s">
        <v>215</v>
      </c>
      <c r="S45" s="3" t="str">
        <f aca="false">IF(R45="","",INDEX($B$2:$B$231,MATCH(R45,$A$2:$A$231,0))&amp;" "&amp;INDEX($C$2:$C$231,MATCH(R45,$A$2:$A$231,0)))</f>
        <v>Daniel Ellison</v>
      </c>
      <c r="T45" s="3" t="s">
        <v>34</v>
      </c>
      <c r="U45" s="3" t="str">
        <f aca="false">H45&amp;" | "&amp;G45</f>
        <v>Commercial &amp; Transactions | Paraprofessional</v>
      </c>
    </row>
    <row r="46" customFormat="false" ht="15" hidden="false" customHeight="true" outlineLevel="0" collapsed="false">
      <c r="A46" s="3" t="s">
        <v>233</v>
      </c>
      <c r="B46" s="3" t="s">
        <v>234</v>
      </c>
      <c r="C46" s="3" t="s">
        <v>235</v>
      </c>
      <c r="D46" s="3" t="s">
        <v>236</v>
      </c>
      <c r="E46" s="3" t="s">
        <v>226</v>
      </c>
      <c r="F46" s="3" t="s">
        <v>195</v>
      </c>
      <c r="G46" s="3" t="s">
        <v>196</v>
      </c>
      <c r="H46" s="3" t="s">
        <v>53</v>
      </c>
      <c r="I46" s="3" t="s">
        <v>221</v>
      </c>
      <c r="J46" s="3" t="s">
        <v>29</v>
      </c>
      <c r="K46" s="3" t="s">
        <v>30</v>
      </c>
      <c r="L46" s="3" t="s">
        <v>31</v>
      </c>
      <c r="M46" s="3" t="s">
        <v>32</v>
      </c>
      <c r="N46" s="3" t="s">
        <v>33</v>
      </c>
      <c r="O46" s="4" t="n">
        <v>44537</v>
      </c>
      <c r="P46" s="3" t="n">
        <f aca="false">ROUND((About!$B$3-O46)/365.25,1)</f>
        <v>4.8</v>
      </c>
      <c r="Q46" s="3" t="str">
        <f aca="false">IF(O46&gt;About!$B$4,"Yes","No")</f>
        <v>No</v>
      </c>
      <c r="R46" s="3" t="s">
        <v>215</v>
      </c>
      <c r="S46" s="3" t="str">
        <f aca="false">IF(R46="","",INDEX($B$2:$B$231,MATCH(R46,$A$2:$A$231,0))&amp;" "&amp;INDEX($C$2:$C$231,MATCH(R46,$A$2:$A$231,0)))</f>
        <v>Daniel Ellison</v>
      </c>
      <c r="T46" s="3" t="s">
        <v>34</v>
      </c>
      <c r="U46" s="3" t="str">
        <f aca="false">H46&amp;" | "&amp;G46</f>
        <v>Commercial &amp; Transactions | Paraprofessional</v>
      </c>
    </row>
    <row r="47" customFormat="false" ht="15" hidden="false" customHeight="true" outlineLevel="0" collapsed="false">
      <c r="A47" s="3" t="s">
        <v>237</v>
      </c>
      <c r="B47" s="3" t="s">
        <v>238</v>
      </c>
      <c r="C47" s="3" t="s">
        <v>239</v>
      </c>
      <c r="D47" s="3" t="s">
        <v>240</v>
      </c>
      <c r="E47" s="3" t="s">
        <v>241</v>
      </c>
      <c r="F47" s="3" t="s">
        <v>195</v>
      </c>
      <c r="G47" s="3" t="s">
        <v>196</v>
      </c>
      <c r="H47" s="3" t="s">
        <v>53</v>
      </c>
      <c r="I47" s="3" t="s">
        <v>221</v>
      </c>
      <c r="J47" s="3" t="s">
        <v>29</v>
      </c>
      <c r="K47" s="3" t="s">
        <v>30</v>
      </c>
      <c r="L47" s="3" t="s">
        <v>31</v>
      </c>
      <c r="M47" s="3" t="s">
        <v>32</v>
      </c>
      <c r="N47" s="3" t="s">
        <v>42</v>
      </c>
      <c r="O47" s="4" t="n">
        <v>44766</v>
      </c>
      <c r="P47" s="3" t="n">
        <f aca="false">ROUND((About!$B$3-O47)/365.25,1)</f>
        <v>4.1</v>
      </c>
      <c r="Q47" s="3" t="str">
        <f aca="false">IF(O47&gt;About!$B$4,"Yes","No")</f>
        <v>No</v>
      </c>
      <c r="R47" s="3" t="s">
        <v>215</v>
      </c>
      <c r="S47" s="3" t="str">
        <f aca="false">IF(R47="","",INDEX($B$2:$B$231,MATCH(R47,$A$2:$A$231,0))&amp;" "&amp;INDEX($C$2:$C$231,MATCH(R47,$A$2:$A$231,0)))</f>
        <v>Daniel Ellison</v>
      </c>
      <c r="T47" s="3" t="s">
        <v>34</v>
      </c>
      <c r="U47" s="3" t="str">
        <f aca="false">H47&amp;" | "&amp;G47</f>
        <v>Commercial &amp; Transactions | Paraprofessional</v>
      </c>
    </row>
    <row r="48" customFormat="false" ht="15" hidden="false" customHeight="true" outlineLevel="0" collapsed="false">
      <c r="A48" s="3" t="s">
        <v>242</v>
      </c>
      <c r="B48" s="3" t="s">
        <v>126</v>
      </c>
      <c r="C48" s="3" t="s">
        <v>243</v>
      </c>
      <c r="D48" s="3" t="s">
        <v>244</v>
      </c>
      <c r="E48" s="3" t="s">
        <v>241</v>
      </c>
      <c r="F48" s="3" t="s">
        <v>195</v>
      </c>
      <c r="G48" s="3" t="s">
        <v>196</v>
      </c>
      <c r="H48" s="3" t="s">
        <v>53</v>
      </c>
      <c r="I48" s="3" t="s">
        <v>221</v>
      </c>
      <c r="J48" s="3" t="s">
        <v>29</v>
      </c>
      <c r="K48" s="3" t="s">
        <v>30</v>
      </c>
      <c r="L48" s="3" t="s">
        <v>31</v>
      </c>
      <c r="M48" s="3" t="s">
        <v>32</v>
      </c>
      <c r="N48" s="3" t="s">
        <v>33</v>
      </c>
      <c r="O48" s="4" t="n">
        <v>45183</v>
      </c>
      <c r="P48" s="3" t="n">
        <f aca="false">ROUND((About!$B$3-O48)/365.25,1)</f>
        <v>3</v>
      </c>
      <c r="Q48" s="3" t="str">
        <f aca="false">IF(O48&gt;About!$B$4,"Yes","No")</f>
        <v>No</v>
      </c>
      <c r="R48" s="3" t="s">
        <v>215</v>
      </c>
      <c r="S48" s="3" t="str">
        <f aca="false">IF(R48="","",INDEX($B$2:$B$231,MATCH(R48,$A$2:$A$231,0))&amp;" "&amp;INDEX($C$2:$C$231,MATCH(R48,$A$2:$A$231,0)))</f>
        <v>Daniel Ellison</v>
      </c>
      <c r="T48" s="3" t="s">
        <v>34</v>
      </c>
      <c r="U48" s="3" t="str">
        <f aca="false">H48&amp;" | "&amp;G48</f>
        <v>Commercial &amp; Transactions | Paraprofessional</v>
      </c>
    </row>
    <row r="49" customFormat="false" ht="15" hidden="false" customHeight="true" outlineLevel="0" collapsed="false">
      <c r="A49" s="3" t="s">
        <v>245</v>
      </c>
      <c r="B49" s="3" t="s">
        <v>134</v>
      </c>
      <c r="C49" s="3" t="s">
        <v>246</v>
      </c>
      <c r="D49" s="3" t="s">
        <v>247</v>
      </c>
      <c r="E49" s="3" t="s">
        <v>241</v>
      </c>
      <c r="F49" s="3" t="s">
        <v>195</v>
      </c>
      <c r="G49" s="3" t="s">
        <v>196</v>
      </c>
      <c r="H49" s="3" t="s">
        <v>53</v>
      </c>
      <c r="I49" s="3" t="s">
        <v>221</v>
      </c>
      <c r="J49" s="3" t="s">
        <v>29</v>
      </c>
      <c r="K49" s="3" t="s">
        <v>30</v>
      </c>
      <c r="L49" s="3" t="s">
        <v>31</v>
      </c>
      <c r="M49" s="3" t="s">
        <v>32</v>
      </c>
      <c r="N49" s="3" t="s">
        <v>42</v>
      </c>
      <c r="O49" s="4" t="n">
        <v>41428</v>
      </c>
      <c r="P49" s="3" t="n">
        <f aca="false">ROUND((About!$B$3-O49)/365.25,1)</f>
        <v>13.3</v>
      </c>
      <c r="Q49" s="3" t="str">
        <f aca="false">IF(O49&gt;About!$B$4,"Yes","No")</f>
        <v>No</v>
      </c>
      <c r="R49" s="3" t="s">
        <v>215</v>
      </c>
      <c r="S49" s="3" t="str">
        <f aca="false">IF(R49="","",INDEX($B$2:$B$231,MATCH(R49,$A$2:$A$231,0))&amp;" "&amp;INDEX($C$2:$C$231,MATCH(R49,$A$2:$A$231,0)))</f>
        <v>Daniel Ellison</v>
      </c>
      <c r="T49" s="3" t="s">
        <v>34</v>
      </c>
      <c r="U49" s="3" t="str">
        <f aca="false">H49&amp;" | "&amp;G49</f>
        <v>Commercial &amp; Transactions | Paraprofessional</v>
      </c>
    </row>
    <row r="50" customFormat="false" ht="15" hidden="false" customHeight="true" outlineLevel="0" collapsed="false">
      <c r="A50" s="3" t="s">
        <v>248</v>
      </c>
      <c r="B50" s="3" t="s">
        <v>36</v>
      </c>
      <c r="C50" s="3" t="s">
        <v>249</v>
      </c>
      <c r="D50" s="3" t="s">
        <v>250</v>
      </c>
      <c r="E50" s="3" t="s">
        <v>241</v>
      </c>
      <c r="F50" s="3" t="s">
        <v>195</v>
      </c>
      <c r="G50" s="3" t="s">
        <v>196</v>
      </c>
      <c r="H50" s="3" t="s">
        <v>53</v>
      </c>
      <c r="I50" s="3" t="s">
        <v>221</v>
      </c>
      <c r="J50" s="3" t="s">
        <v>29</v>
      </c>
      <c r="K50" s="3" t="s">
        <v>30</v>
      </c>
      <c r="L50" s="3" t="s">
        <v>31</v>
      </c>
      <c r="M50" s="3" t="s">
        <v>32</v>
      </c>
      <c r="N50" s="3" t="s">
        <v>33</v>
      </c>
      <c r="O50" s="4" t="n">
        <v>44126</v>
      </c>
      <c r="P50" s="3" t="n">
        <f aca="false">ROUND((About!$B$3-O50)/365.25,1)</f>
        <v>5.9</v>
      </c>
      <c r="Q50" s="3" t="str">
        <f aca="false">IF(O50&gt;About!$B$4,"Yes","No")</f>
        <v>No</v>
      </c>
      <c r="R50" s="3" t="s">
        <v>215</v>
      </c>
      <c r="S50" s="3" t="str">
        <f aca="false">IF(R50="","",INDEX($B$2:$B$231,MATCH(R50,$A$2:$A$231,0))&amp;" "&amp;INDEX($C$2:$C$231,MATCH(R50,$A$2:$A$231,0)))</f>
        <v>Daniel Ellison</v>
      </c>
      <c r="T50" s="3" t="s">
        <v>34</v>
      </c>
      <c r="U50" s="3" t="str">
        <f aca="false">H50&amp;" | "&amp;G50</f>
        <v>Commercial &amp; Transactions | Paraprofessional</v>
      </c>
    </row>
    <row r="51" customFormat="false" ht="15" hidden="false" customHeight="true" outlineLevel="0" collapsed="false">
      <c r="A51" s="3" t="s">
        <v>251</v>
      </c>
      <c r="B51" s="3" t="s">
        <v>105</v>
      </c>
      <c r="C51" s="3" t="s">
        <v>252</v>
      </c>
      <c r="D51" s="3" t="s">
        <v>253</v>
      </c>
      <c r="E51" s="3" t="s">
        <v>241</v>
      </c>
      <c r="F51" s="3" t="s">
        <v>195</v>
      </c>
      <c r="G51" s="3" t="s">
        <v>196</v>
      </c>
      <c r="H51" s="3" t="s">
        <v>53</v>
      </c>
      <c r="I51" s="3" t="s">
        <v>221</v>
      </c>
      <c r="J51" s="3" t="s">
        <v>123</v>
      </c>
      <c r="K51" s="3" t="s">
        <v>30</v>
      </c>
      <c r="L51" s="3" t="s">
        <v>31</v>
      </c>
      <c r="M51" s="3" t="s">
        <v>90</v>
      </c>
      <c r="N51" s="3" t="s">
        <v>124</v>
      </c>
      <c r="O51" s="4" t="n">
        <v>41374</v>
      </c>
      <c r="P51" s="3" t="n">
        <f aca="false">ROUND((About!$B$3-O51)/365.25,1)</f>
        <v>13.4</v>
      </c>
      <c r="Q51" s="3" t="str">
        <f aca="false">IF(O51&gt;About!$B$4,"Yes","No")</f>
        <v>No</v>
      </c>
      <c r="R51" s="3" t="s">
        <v>215</v>
      </c>
      <c r="S51" s="3" t="str">
        <f aca="false">IF(R51="","",INDEX($B$2:$B$231,MATCH(R51,$A$2:$A$231,0))&amp;" "&amp;INDEX($C$2:$C$231,MATCH(R51,$A$2:$A$231,0)))</f>
        <v>Daniel Ellison</v>
      </c>
      <c r="T51" s="3" t="s">
        <v>34</v>
      </c>
      <c r="U51" s="3" t="str">
        <f aca="false">H51&amp;" | "&amp;G51</f>
        <v>Commercial &amp; Transactions | Paraprofessional</v>
      </c>
    </row>
    <row r="52" customFormat="false" ht="15" hidden="false" customHeight="true" outlineLevel="0" collapsed="false">
      <c r="A52" s="3" t="s">
        <v>254</v>
      </c>
      <c r="B52" s="3" t="s">
        <v>255</v>
      </c>
      <c r="C52" s="3" t="s">
        <v>79</v>
      </c>
      <c r="D52" s="3" t="s">
        <v>256</v>
      </c>
      <c r="E52" s="3" t="s">
        <v>241</v>
      </c>
      <c r="F52" s="3" t="s">
        <v>195</v>
      </c>
      <c r="G52" s="3" t="s">
        <v>196</v>
      </c>
      <c r="H52" s="3" t="s">
        <v>53</v>
      </c>
      <c r="I52" s="3" t="s">
        <v>221</v>
      </c>
      <c r="J52" s="3" t="s">
        <v>29</v>
      </c>
      <c r="K52" s="3" t="s">
        <v>30</v>
      </c>
      <c r="L52" s="3" t="s">
        <v>31</v>
      </c>
      <c r="M52" s="3" t="s">
        <v>32</v>
      </c>
      <c r="N52" s="3" t="s">
        <v>33</v>
      </c>
      <c r="O52" s="4" t="n">
        <v>43904</v>
      </c>
      <c r="P52" s="3" t="n">
        <f aca="false">ROUND((About!$B$3-O52)/365.25,1)</f>
        <v>6.5</v>
      </c>
      <c r="Q52" s="3" t="str">
        <f aca="false">IF(O52&gt;About!$B$4,"Yes","No")</f>
        <v>No</v>
      </c>
      <c r="R52" s="3" t="s">
        <v>215</v>
      </c>
      <c r="S52" s="3" t="str">
        <f aca="false">IF(R52="","",INDEX($B$2:$B$231,MATCH(R52,$A$2:$A$231,0))&amp;" "&amp;INDEX($C$2:$C$231,MATCH(R52,$A$2:$A$231,0)))</f>
        <v>Daniel Ellison</v>
      </c>
      <c r="T52" s="3" t="s">
        <v>34</v>
      </c>
      <c r="U52" s="3" t="str">
        <f aca="false">H52&amp;" | "&amp;G52</f>
        <v>Commercial &amp; Transactions | Paraprofessional</v>
      </c>
    </row>
    <row r="53" customFormat="false" ht="15" hidden="false" customHeight="true" outlineLevel="0" collapsed="false">
      <c r="A53" s="3" t="s">
        <v>257</v>
      </c>
      <c r="B53" s="3" t="s">
        <v>200</v>
      </c>
      <c r="C53" s="3" t="s">
        <v>98</v>
      </c>
      <c r="D53" s="3" t="s">
        <v>258</v>
      </c>
      <c r="E53" s="3" t="s">
        <v>241</v>
      </c>
      <c r="F53" s="3" t="s">
        <v>195</v>
      </c>
      <c r="G53" s="3" t="s">
        <v>196</v>
      </c>
      <c r="H53" s="3" t="s">
        <v>53</v>
      </c>
      <c r="I53" s="3" t="s">
        <v>221</v>
      </c>
      <c r="J53" s="3" t="s">
        <v>29</v>
      </c>
      <c r="K53" s="3" t="s">
        <v>30</v>
      </c>
      <c r="L53" s="3" t="s">
        <v>31</v>
      </c>
      <c r="M53" s="3" t="s">
        <v>32</v>
      </c>
      <c r="N53" s="3" t="s">
        <v>33</v>
      </c>
      <c r="O53" s="4" t="n">
        <v>43525</v>
      </c>
      <c r="P53" s="3" t="n">
        <f aca="false">ROUND((About!$B$3-O53)/365.25,1)</f>
        <v>7.5</v>
      </c>
      <c r="Q53" s="3" t="str">
        <f aca="false">IF(O53&gt;About!$B$4,"Yes","No")</f>
        <v>No</v>
      </c>
      <c r="R53" s="3" t="s">
        <v>215</v>
      </c>
      <c r="S53" s="3" t="str">
        <f aca="false">IF(R53="","",INDEX($B$2:$B$231,MATCH(R53,$A$2:$A$231,0))&amp;" "&amp;INDEX($C$2:$C$231,MATCH(R53,$A$2:$A$231,0)))</f>
        <v>Daniel Ellison</v>
      </c>
      <c r="T53" s="3" t="s">
        <v>34</v>
      </c>
      <c r="U53" s="3" t="str">
        <f aca="false">H53&amp;" | "&amp;G53</f>
        <v>Commercial &amp; Transactions | Paraprofessional</v>
      </c>
    </row>
    <row r="54" customFormat="false" ht="15" hidden="false" customHeight="true" outlineLevel="0" collapsed="false">
      <c r="A54" s="3" t="s">
        <v>259</v>
      </c>
      <c r="B54" s="3" t="s">
        <v>260</v>
      </c>
      <c r="C54" s="3" t="s">
        <v>261</v>
      </c>
      <c r="D54" s="3" t="s">
        <v>262</v>
      </c>
      <c r="E54" s="3" t="s">
        <v>241</v>
      </c>
      <c r="F54" s="3" t="s">
        <v>195</v>
      </c>
      <c r="G54" s="3" t="s">
        <v>196</v>
      </c>
      <c r="H54" s="3" t="s">
        <v>53</v>
      </c>
      <c r="I54" s="3" t="s">
        <v>221</v>
      </c>
      <c r="J54" s="3" t="s">
        <v>29</v>
      </c>
      <c r="K54" s="3" t="s">
        <v>30</v>
      </c>
      <c r="L54" s="3" t="s">
        <v>31</v>
      </c>
      <c r="M54" s="3" t="s">
        <v>32</v>
      </c>
      <c r="N54" s="3" t="s">
        <v>33</v>
      </c>
      <c r="O54" s="4" t="n">
        <v>45702</v>
      </c>
      <c r="P54" s="3" t="n">
        <f aca="false">ROUND((About!$B$3-O54)/365.25,1)</f>
        <v>1.6</v>
      </c>
      <c r="Q54" s="3" t="str">
        <f aca="false">IF(O54&gt;About!$B$4,"Yes","No")</f>
        <v>Yes</v>
      </c>
      <c r="R54" s="3" t="s">
        <v>215</v>
      </c>
      <c r="S54" s="3" t="str">
        <f aca="false">IF(R54="","",INDEX($B$2:$B$231,MATCH(R54,$A$2:$A$231,0))&amp;" "&amp;INDEX($C$2:$C$231,MATCH(R54,$A$2:$A$231,0)))</f>
        <v>Daniel Ellison</v>
      </c>
      <c r="T54" s="3" t="s">
        <v>34</v>
      </c>
      <c r="U54" s="3" t="str">
        <f aca="false">H54&amp;" | "&amp;G54</f>
        <v>Commercial &amp; Transactions | Paraprofessional</v>
      </c>
    </row>
    <row r="55" customFormat="false" ht="15" hidden="false" customHeight="true" outlineLevel="0" collapsed="false">
      <c r="A55" s="3" t="s">
        <v>263</v>
      </c>
      <c r="B55" s="3" t="s">
        <v>126</v>
      </c>
      <c r="C55" s="3" t="s">
        <v>155</v>
      </c>
      <c r="D55" s="3" t="s">
        <v>264</v>
      </c>
      <c r="E55" s="3" t="s">
        <v>39</v>
      </c>
      <c r="F55" s="3" t="s">
        <v>40</v>
      </c>
      <c r="G55" s="3" t="s">
        <v>39</v>
      </c>
      <c r="H55" s="3" t="s">
        <v>53</v>
      </c>
      <c r="I55" s="3" t="s">
        <v>41</v>
      </c>
      <c r="J55" s="3" t="s">
        <v>29</v>
      </c>
      <c r="K55" s="3" t="s">
        <v>30</v>
      </c>
      <c r="L55" s="3" t="s">
        <v>31</v>
      </c>
      <c r="M55" s="3" t="s">
        <v>32</v>
      </c>
      <c r="N55" s="3" t="s">
        <v>124</v>
      </c>
      <c r="O55" s="4" t="n">
        <v>45883</v>
      </c>
      <c r="P55" s="3" t="n">
        <f aca="false">ROUND((About!$B$3-O55)/365.25,1)</f>
        <v>1.1</v>
      </c>
      <c r="Q55" s="3" t="str">
        <f aca="false">IF(O55&gt;About!$B$4,"Yes","No")</f>
        <v>Yes</v>
      </c>
      <c r="R55" s="3" t="s">
        <v>47</v>
      </c>
      <c r="S55" s="3" t="str">
        <f aca="false">IF(R55="","",INDEX($B$2:$B$231,MATCH(R55,$A$2:$A$231,0))&amp;" "&amp;INDEX($C$2:$C$231,MATCH(R55,$A$2:$A$231,0)))</f>
        <v>Aisha Villanueva</v>
      </c>
      <c r="T55" s="3" t="s">
        <v>34</v>
      </c>
      <c r="U55" s="3" t="str">
        <f aca="false">H55&amp;" | "&amp;G55</f>
        <v>Commercial &amp; Transactions | Executive Assistant</v>
      </c>
    </row>
    <row r="56" customFormat="false" ht="15" hidden="false" customHeight="true" outlineLevel="0" collapsed="false">
      <c r="A56" s="3" t="s">
        <v>265</v>
      </c>
      <c r="B56" s="3" t="s">
        <v>266</v>
      </c>
      <c r="C56" s="3" t="s">
        <v>79</v>
      </c>
      <c r="D56" s="3" t="s">
        <v>267</v>
      </c>
      <c r="E56" s="3" t="s">
        <v>39</v>
      </c>
      <c r="F56" s="3" t="s">
        <v>40</v>
      </c>
      <c r="G56" s="3" t="s">
        <v>39</v>
      </c>
      <c r="H56" s="3" t="s">
        <v>53</v>
      </c>
      <c r="I56" s="3" t="s">
        <v>41</v>
      </c>
      <c r="J56" s="3" t="s">
        <v>29</v>
      </c>
      <c r="K56" s="3" t="s">
        <v>30</v>
      </c>
      <c r="L56" s="3" t="s">
        <v>31</v>
      </c>
      <c r="M56" s="3" t="s">
        <v>32</v>
      </c>
      <c r="N56" s="3" t="s">
        <v>42</v>
      </c>
      <c r="O56" s="4" t="n">
        <v>45758</v>
      </c>
      <c r="P56" s="3" t="n">
        <f aca="false">ROUND((About!$B$3-O56)/365.25,1)</f>
        <v>1.4</v>
      </c>
      <c r="Q56" s="3" t="str">
        <f aca="false">IF(O56&gt;About!$B$4,"Yes","No")</f>
        <v>Yes</v>
      </c>
      <c r="R56" s="3" t="s">
        <v>47</v>
      </c>
      <c r="S56" s="3" t="str">
        <f aca="false">IF(R56="","",INDEX($B$2:$B$231,MATCH(R56,$A$2:$A$231,0))&amp;" "&amp;INDEX($C$2:$C$231,MATCH(R56,$A$2:$A$231,0)))</f>
        <v>Aisha Villanueva</v>
      </c>
      <c r="T56" s="3" t="s">
        <v>34</v>
      </c>
      <c r="U56" s="3" t="str">
        <f aca="false">H56&amp;" | "&amp;G56</f>
        <v>Commercial &amp; Transactions | Executive Assistant</v>
      </c>
    </row>
    <row r="57" customFormat="false" ht="15" hidden="false" customHeight="true" outlineLevel="0" collapsed="false">
      <c r="A57" s="3" t="s">
        <v>268</v>
      </c>
      <c r="B57" s="3" t="s">
        <v>92</v>
      </c>
      <c r="C57" s="3" t="s">
        <v>269</v>
      </c>
      <c r="D57" s="3" t="s">
        <v>270</v>
      </c>
      <c r="E57" s="3" t="s">
        <v>39</v>
      </c>
      <c r="F57" s="3" t="s">
        <v>40</v>
      </c>
      <c r="G57" s="3" t="s">
        <v>39</v>
      </c>
      <c r="H57" s="3" t="s">
        <v>53</v>
      </c>
      <c r="I57" s="3" t="s">
        <v>41</v>
      </c>
      <c r="J57" s="3" t="s">
        <v>29</v>
      </c>
      <c r="K57" s="3" t="s">
        <v>30</v>
      </c>
      <c r="L57" s="3" t="s">
        <v>31</v>
      </c>
      <c r="M57" s="3" t="s">
        <v>32</v>
      </c>
      <c r="N57" s="3" t="s">
        <v>33</v>
      </c>
      <c r="O57" s="4" t="n">
        <v>42820</v>
      </c>
      <c r="P57" s="3" t="n">
        <f aca="false">ROUND((About!$B$3-O57)/365.25,1)</f>
        <v>9.5</v>
      </c>
      <c r="Q57" s="3" t="str">
        <f aca="false">IF(O57&gt;About!$B$4,"Yes","No")</f>
        <v>No</v>
      </c>
      <c r="R57" s="3" t="s">
        <v>47</v>
      </c>
      <c r="S57" s="3" t="str">
        <f aca="false">IF(R57="","",INDEX($B$2:$B$231,MATCH(R57,$A$2:$A$231,0))&amp;" "&amp;INDEX($C$2:$C$231,MATCH(R57,$A$2:$A$231,0)))</f>
        <v>Aisha Villanueva</v>
      </c>
      <c r="T57" s="3" t="s">
        <v>34</v>
      </c>
      <c r="U57" s="3" t="str">
        <f aca="false">H57&amp;" | "&amp;G57</f>
        <v>Commercial &amp; Transactions | Executive Assistant</v>
      </c>
    </row>
    <row r="58" customFormat="false" ht="15" hidden="false" customHeight="true" outlineLevel="0" collapsed="false">
      <c r="A58" s="3" t="s">
        <v>271</v>
      </c>
      <c r="B58" s="3" t="s">
        <v>272</v>
      </c>
      <c r="C58" s="3" t="s">
        <v>139</v>
      </c>
      <c r="D58" s="3" t="s">
        <v>273</v>
      </c>
      <c r="E58" s="3" t="s">
        <v>274</v>
      </c>
      <c r="F58" s="3" t="s">
        <v>52</v>
      </c>
      <c r="G58" s="3" t="s">
        <v>27</v>
      </c>
      <c r="H58" s="3" t="s">
        <v>275</v>
      </c>
      <c r="I58" s="3"/>
      <c r="J58" s="3" t="s">
        <v>29</v>
      </c>
      <c r="K58" s="3" t="s">
        <v>30</v>
      </c>
      <c r="L58" s="3" t="s">
        <v>31</v>
      </c>
      <c r="M58" s="3" t="s">
        <v>32</v>
      </c>
      <c r="N58" s="3" t="s">
        <v>42</v>
      </c>
      <c r="O58" s="4" t="n">
        <v>41039</v>
      </c>
      <c r="P58" s="3" t="n">
        <f aca="false">ROUND((About!$B$3-O58)/365.25,1)</f>
        <v>14.3</v>
      </c>
      <c r="Q58" s="3" t="str">
        <f aca="false">IF(O58&gt;About!$B$4,"Yes","No")</f>
        <v>No</v>
      </c>
      <c r="R58" s="3" t="s">
        <v>21</v>
      </c>
      <c r="S58" s="3" t="str">
        <f aca="false">IF(R58="","",INDEX($B$2:$B$231,MATCH(R58,$A$2:$A$231,0))&amp;" "&amp;INDEX($C$2:$C$231,MATCH(R58,$A$2:$A$231,0)))</f>
        <v>Simon Rasmussen</v>
      </c>
      <c r="T58" s="3" t="s">
        <v>34</v>
      </c>
      <c r="U58" s="3" t="str">
        <f aca="false">H58&amp;" | "&amp;G58</f>
        <v>Litigation &amp; Disputes | Lawyer - Leadership</v>
      </c>
    </row>
    <row r="59" customFormat="false" ht="15" hidden="false" customHeight="true" outlineLevel="0" collapsed="false">
      <c r="A59" s="3" t="s">
        <v>276</v>
      </c>
      <c r="B59" s="3" t="s">
        <v>113</v>
      </c>
      <c r="C59" s="3" t="s">
        <v>246</v>
      </c>
      <c r="D59" s="3" t="s">
        <v>277</v>
      </c>
      <c r="E59" s="3" t="s">
        <v>58</v>
      </c>
      <c r="F59" s="3" t="s">
        <v>59</v>
      </c>
      <c r="G59" s="3" t="s">
        <v>60</v>
      </c>
      <c r="H59" s="3" t="s">
        <v>275</v>
      </c>
      <c r="I59" s="3"/>
      <c r="J59" s="3" t="s">
        <v>29</v>
      </c>
      <c r="K59" s="3" t="s">
        <v>30</v>
      </c>
      <c r="L59" s="3" t="s">
        <v>31</v>
      </c>
      <c r="M59" s="3" t="s">
        <v>32</v>
      </c>
      <c r="N59" s="3" t="s">
        <v>33</v>
      </c>
      <c r="O59" s="4" t="n">
        <v>45810</v>
      </c>
      <c r="P59" s="3" t="n">
        <f aca="false">ROUND((About!$B$3-O59)/365.25,1)</f>
        <v>1.3</v>
      </c>
      <c r="Q59" s="3" t="str">
        <f aca="false">IF(O59&gt;About!$B$4,"Yes","No")</f>
        <v>Yes</v>
      </c>
      <c r="R59" s="3" t="s">
        <v>271</v>
      </c>
      <c r="S59" s="3" t="str">
        <f aca="false">IF(R59="","",INDEX($B$2:$B$231,MATCH(R59,$A$2:$A$231,0))&amp;" "&amp;INDEX($C$2:$C$231,MATCH(R59,$A$2:$A$231,0)))</f>
        <v>Ines Duarte</v>
      </c>
      <c r="T59" s="3" t="s">
        <v>34</v>
      </c>
      <c r="U59" s="3" t="str">
        <f aca="false">H59&amp;" | "&amp;G59</f>
        <v>Litigation &amp; Disputes | Lawyer - Junior</v>
      </c>
    </row>
    <row r="60" customFormat="false" ht="15" hidden="false" customHeight="true" outlineLevel="0" collapsed="false">
      <c r="A60" s="3" t="s">
        <v>278</v>
      </c>
      <c r="B60" s="3" t="s">
        <v>279</v>
      </c>
      <c r="C60" s="3" t="s">
        <v>280</v>
      </c>
      <c r="D60" s="3" t="s">
        <v>281</v>
      </c>
      <c r="E60" s="3" t="s">
        <v>72</v>
      </c>
      <c r="F60" s="3" t="s">
        <v>73</v>
      </c>
      <c r="G60" s="3" t="s">
        <v>74</v>
      </c>
      <c r="H60" s="3" t="s">
        <v>275</v>
      </c>
      <c r="I60" s="3"/>
      <c r="J60" s="3" t="s">
        <v>29</v>
      </c>
      <c r="K60" s="3" t="s">
        <v>30</v>
      </c>
      <c r="L60" s="3" t="s">
        <v>31</v>
      </c>
      <c r="M60" s="3" t="s">
        <v>32</v>
      </c>
      <c r="N60" s="3" t="s">
        <v>42</v>
      </c>
      <c r="O60" s="4" t="n">
        <v>43493</v>
      </c>
      <c r="P60" s="3" t="n">
        <f aca="false">ROUND((About!$B$3-O60)/365.25,1)</f>
        <v>7.6</v>
      </c>
      <c r="Q60" s="3" t="str">
        <f aca="false">IF(O60&gt;About!$B$4,"Yes","No")</f>
        <v>No</v>
      </c>
      <c r="R60" s="3" t="s">
        <v>271</v>
      </c>
      <c r="S60" s="3" t="str">
        <f aca="false">IF(R60="","",INDEX($B$2:$B$231,MATCH(R60,$A$2:$A$231,0))&amp;" "&amp;INDEX($C$2:$C$231,MATCH(R60,$A$2:$A$231,0)))</f>
        <v>Ines Duarte</v>
      </c>
      <c r="T60" s="3" t="s">
        <v>34</v>
      </c>
      <c r="U60" s="3" t="str">
        <f aca="false">H60&amp;" | "&amp;G60</f>
        <v>Litigation &amp; Disputes | Lawyer - Mid</v>
      </c>
    </row>
    <row r="61" customFormat="false" ht="15" hidden="false" customHeight="true" outlineLevel="0" collapsed="false">
      <c r="A61" s="3" t="s">
        <v>282</v>
      </c>
      <c r="B61" s="3" t="s">
        <v>283</v>
      </c>
      <c r="C61" s="3" t="s">
        <v>169</v>
      </c>
      <c r="D61" s="3" t="s">
        <v>284</v>
      </c>
      <c r="E61" s="3" t="s">
        <v>116</v>
      </c>
      <c r="F61" s="3" t="s">
        <v>117</v>
      </c>
      <c r="G61" s="3" t="s">
        <v>118</v>
      </c>
      <c r="H61" s="3" t="s">
        <v>275</v>
      </c>
      <c r="I61" s="3"/>
      <c r="J61" s="3" t="s">
        <v>29</v>
      </c>
      <c r="K61" s="3" t="s">
        <v>30</v>
      </c>
      <c r="L61" s="3" t="s">
        <v>31</v>
      </c>
      <c r="M61" s="3" t="s">
        <v>32</v>
      </c>
      <c r="N61" s="3" t="s">
        <v>124</v>
      </c>
      <c r="O61" s="4" t="n">
        <v>40513</v>
      </c>
      <c r="P61" s="3" t="n">
        <f aca="false">ROUND((About!$B$3-O61)/365.25,1)</f>
        <v>15.8</v>
      </c>
      <c r="Q61" s="3" t="str">
        <f aca="false">IF(O61&gt;About!$B$4,"Yes","No")</f>
        <v>No</v>
      </c>
      <c r="R61" s="3" t="s">
        <v>271</v>
      </c>
      <c r="S61" s="3" t="str">
        <f aca="false">IF(R61="","",INDEX($B$2:$B$231,MATCH(R61,$A$2:$A$231,0))&amp;" "&amp;INDEX($C$2:$C$231,MATCH(R61,$A$2:$A$231,0)))</f>
        <v>Ines Duarte</v>
      </c>
      <c r="T61" s="3" t="s">
        <v>34</v>
      </c>
      <c r="U61" s="3" t="str">
        <f aca="false">H61&amp;" | "&amp;G61</f>
        <v>Litigation &amp; Disputes | Lawyer - Senior</v>
      </c>
    </row>
    <row r="62" customFormat="false" ht="15" hidden="false" customHeight="true" outlineLevel="0" collapsed="false">
      <c r="A62" s="3" t="s">
        <v>285</v>
      </c>
      <c r="B62" s="3" t="s">
        <v>286</v>
      </c>
      <c r="C62" s="3" t="s">
        <v>287</v>
      </c>
      <c r="D62" s="3" t="s">
        <v>288</v>
      </c>
      <c r="E62" s="3" t="s">
        <v>72</v>
      </c>
      <c r="F62" s="3" t="s">
        <v>73</v>
      </c>
      <c r="G62" s="3" t="s">
        <v>74</v>
      </c>
      <c r="H62" s="3" t="s">
        <v>275</v>
      </c>
      <c r="I62" s="3"/>
      <c r="J62" s="3" t="s">
        <v>29</v>
      </c>
      <c r="K62" s="3" t="s">
        <v>30</v>
      </c>
      <c r="L62" s="3" t="s">
        <v>31</v>
      </c>
      <c r="M62" s="3" t="s">
        <v>32</v>
      </c>
      <c r="N62" s="3" t="s">
        <v>33</v>
      </c>
      <c r="O62" s="4" t="n">
        <v>43976</v>
      </c>
      <c r="P62" s="3" t="n">
        <f aca="false">ROUND((About!$B$3-O62)/365.25,1)</f>
        <v>6.3</v>
      </c>
      <c r="Q62" s="3" t="str">
        <f aca="false">IF(O62&gt;About!$B$4,"Yes","No")</f>
        <v>No</v>
      </c>
      <c r="R62" s="3" t="s">
        <v>271</v>
      </c>
      <c r="S62" s="3" t="str">
        <f aca="false">IF(R62="","",INDEX($B$2:$B$231,MATCH(R62,$A$2:$A$231,0))&amp;" "&amp;INDEX($C$2:$C$231,MATCH(R62,$A$2:$A$231,0)))</f>
        <v>Ines Duarte</v>
      </c>
      <c r="T62" s="3" t="s">
        <v>34</v>
      </c>
      <c r="U62" s="3" t="str">
        <f aca="false">H62&amp;" | "&amp;G62</f>
        <v>Litigation &amp; Disputes | Lawyer - Mid</v>
      </c>
    </row>
    <row r="63" customFormat="false" ht="15" hidden="false" customHeight="true" outlineLevel="0" collapsed="false">
      <c r="A63" s="3" t="s">
        <v>289</v>
      </c>
      <c r="B63" s="3" t="s">
        <v>145</v>
      </c>
      <c r="C63" s="3" t="s">
        <v>290</v>
      </c>
      <c r="D63" s="3" t="s">
        <v>291</v>
      </c>
      <c r="E63" s="3" t="s">
        <v>116</v>
      </c>
      <c r="F63" s="3" t="s">
        <v>117</v>
      </c>
      <c r="G63" s="3" t="s">
        <v>118</v>
      </c>
      <c r="H63" s="3" t="s">
        <v>275</v>
      </c>
      <c r="I63" s="3"/>
      <c r="J63" s="3" t="s">
        <v>95</v>
      </c>
      <c r="K63" s="3" t="s">
        <v>30</v>
      </c>
      <c r="L63" s="3" t="s">
        <v>31</v>
      </c>
      <c r="M63" s="3" t="s">
        <v>90</v>
      </c>
      <c r="N63" s="3" t="s">
        <v>42</v>
      </c>
      <c r="O63" s="4" t="n">
        <v>43711</v>
      </c>
      <c r="P63" s="3" t="n">
        <f aca="false">ROUND((About!$B$3-O63)/365.25,1)</f>
        <v>7</v>
      </c>
      <c r="Q63" s="3" t="str">
        <f aca="false">IF(O63&gt;About!$B$4,"Yes","No")</f>
        <v>No</v>
      </c>
      <c r="R63" s="3" t="s">
        <v>271</v>
      </c>
      <c r="S63" s="3" t="str">
        <f aca="false">IF(R63="","",INDEX($B$2:$B$231,MATCH(R63,$A$2:$A$231,0))&amp;" "&amp;INDEX($C$2:$C$231,MATCH(R63,$A$2:$A$231,0)))</f>
        <v>Ines Duarte</v>
      </c>
      <c r="T63" s="3" t="s">
        <v>34</v>
      </c>
      <c r="U63" s="3" t="str">
        <f aca="false">H63&amp;" | "&amp;G63</f>
        <v>Litigation &amp; Disputes | Lawyer - Senior</v>
      </c>
    </row>
    <row r="64" customFormat="false" ht="15" hidden="false" customHeight="true" outlineLevel="0" collapsed="false">
      <c r="A64" s="3" t="s">
        <v>292</v>
      </c>
      <c r="B64" s="3" t="s">
        <v>145</v>
      </c>
      <c r="C64" s="3" t="s">
        <v>293</v>
      </c>
      <c r="D64" s="3" t="s">
        <v>294</v>
      </c>
      <c r="E64" s="3" t="s">
        <v>58</v>
      </c>
      <c r="F64" s="3" t="s">
        <v>59</v>
      </c>
      <c r="G64" s="3" t="s">
        <v>60</v>
      </c>
      <c r="H64" s="3" t="s">
        <v>275</v>
      </c>
      <c r="I64" s="3"/>
      <c r="J64" s="3" t="s">
        <v>111</v>
      </c>
      <c r="K64" s="3" t="s">
        <v>30</v>
      </c>
      <c r="L64" s="3" t="s">
        <v>31</v>
      </c>
      <c r="M64" s="3" t="s">
        <v>90</v>
      </c>
      <c r="N64" s="3" t="s">
        <v>124</v>
      </c>
      <c r="O64" s="4" t="n">
        <v>45571</v>
      </c>
      <c r="P64" s="3" t="n">
        <f aca="false">ROUND((About!$B$3-O64)/365.25,1)</f>
        <v>1.9</v>
      </c>
      <c r="Q64" s="3" t="str">
        <f aca="false">IF(O64&gt;About!$B$4,"Yes","No")</f>
        <v>Yes</v>
      </c>
      <c r="R64" s="3" t="s">
        <v>271</v>
      </c>
      <c r="S64" s="3" t="str">
        <f aca="false">IF(R64="","",INDEX($B$2:$B$231,MATCH(R64,$A$2:$A$231,0))&amp;" "&amp;INDEX($C$2:$C$231,MATCH(R64,$A$2:$A$231,0)))</f>
        <v>Ines Duarte</v>
      </c>
      <c r="T64" s="3" t="s">
        <v>34</v>
      </c>
      <c r="U64" s="3" t="str">
        <f aca="false">H64&amp;" | "&amp;G64</f>
        <v>Litigation &amp; Disputes | Lawyer - Junior</v>
      </c>
    </row>
    <row r="65" customFormat="false" ht="15" hidden="false" customHeight="true" outlineLevel="0" collapsed="false">
      <c r="A65" s="3" t="s">
        <v>295</v>
      </c>
      <c r="B65" s="3" t="s">
        <v>296</v>
      </c>
      <c r="C65" s="3" t="s">
        <v>297</v>
      </c>
      <c r="D65" s="3" t="s">
        <v>298</v>
      </c>
      <c r="E65" s="3" t="s">
        <v>72</v>
      </c>
      <c r="F65" s="3" t="s">
        <v>73</v>
      </c>
      <c r="G65" s="3" t="s">
        <v>74</v>
      </c>
      <c r="H65" s="3" t="s">
        <v>275</v>
      </c>
      <c r="I65" s="3"/>
      <c r="J65" s="3" t="s">
        <v>29</v>
      </c>
      <c r="K65" s="3" t="s">
        <v>30</v>
      </c>
      <c r="L65" s="3" t="s">
        <v>31</v>
      </c>
      <c r="M65" s="3" t="s">
        <v>32</v>
      </c>
      <c r="N65" s="3" t="s">
        <v>42</v>
      </c>
      <c r="O65" s="4" t="n">
        <v>45854</v>
      </c>
      <c r="P65" s="3" t="n">
        <f aca="false">ROUND((About!$B$3-O65)/365.25,1)</f>
        <v>1.1</v>
      </c>
      <c r="Q65" s="3" t="str">
        <f aca="false">IF(O65&gt;About!$B$4,"Yes","No")</f>
        <v>Yes</v>
      </c>
      <c r="R65" s="3" t="s">
        <v>271</v>
      </c>
      <c r="S65" s="3" t="str">
        <f aca="false">IF(R65="","",INDEX($B$2:$B$231,MATCH(R65,$A$2:$A$231,0))&amp;" "&amp;INDEX($C$2:$C$231,MATCH(R65,$A$2:$A$231,0)))</f>
        <v>Ines Duarte</v>
      </c>
      <c r="T65" s="3" t="s">
        <v>34</v>
      </c>
      <c r="U65" s="3" t="str">
        <f aca="false">H65&amp;" | "&amp;G65</f>
        <v>Litigation &amp; Disputes | Lawyer - Mid</v>
      </c>
    </row>
    <row r="66" customFormat="false" ht="15" hidden="false" customHeight="true" outlineLevel="0" collapsed="false">
      <c r="A66" s="3" t="s">
        <v>299</v>
      </c>
      <c r="B66" s="3" t="s">
        <v>300</v>
      </c>
      <c r="C66" s="3" t="s">
        <v>301</v>
      </c>
      <c r="D66" s="3" t="s">
        <v>302</v>
      </c>
      <c r="E66" s="3" t="s">
        <v>72</v>
      </c>
      <c r="F66" s="3" t="s">
        <v>73</v>
      </c>
      <c r="G66" s="3" t="s">
        <v>74</v>
      </c>
      <c r="H66" s="3" t="s">
        <v>275</v>
      </c>
      <c r="I66" s="3"/>
      <c r="J66" s="3" t="s">
        <v>29</v>
      </c>
      <c r="K66" s="3" t="s">
        <v>30</v>
      </c>
      <c r="L66" s="3" t="s">
        <v>31</v>
      </c>
      <c r="M66" s="3" t="s">
        <v>32</v>
      </c>
      <c r="N66" s="3" t="s">
        <v>42</v>
      </c>
      <c r="O66" s="4" t="n">
        <v>43613</v>
      </c>
      <c r="P66" s="3" t="n">
        <f aca="false">ROUND((About!$B$3-O66)/365.25,1)</f>
        <v>7.3</v>
      </c>
      <c r="Q66" s="3" t="str">
        <f aca="false">IF(O66&gt;About!$B$4,"Yes","No")</f>
        <v>No</v>
      </c>
      <c r="R66" s="3" t="s">
        <v>271</v>
      </c>
      <c r="S66" s="3" t="str">
        <f aca="false">IF(R66="","",INDEX($B$2:$B$231,MATCH(R66,$A$2:$A$231,0))&amp;" "&amp;INDEX($C$2:$C$231,MATCH(R66,$A$2:$A$231,0)))</f>
        <v>Ines Duarte</v>
      </c>
      <c r="T66" s="3" t="s">
        <v>34</v>
      </c>
      <c r="U66" s="3" t="str">
        <f aca="false">H66&amp;" | "&amp;G66</f>
        <v>Litigation &amp; Disputes | Lawyer - Mid</v>
      </c>
    </row>
    <row r="67" customFormat="false" ht="15" hidden="false" customHeight="true" outlineLevel="0" collapsed="false">
      <c r="A67" s="3" t="s">
        <v>303</v>
      </c>
      <c r="B67" s="3" t="s">
        <v>134</v>
      </c>
      <c r="C67" s="3" t="s">
        <v>304</v>
      </c>
      <c r="D67" s="3" t="s">
        <v>305</v>
      </c>
      <c r="E67" s="3" t="s">
        <v>72</v>
      </c>
      <c r="F67" s="3" t="s">
        <v>73</v>
      </c>
      <c r="G67" s="3" t="s">
        <v>74</v>
      </c>
      <c r="H67" s="3" t="s">
        <v>275</v>
      </c>
      <c r="I67" s="3"/>
      <c r="J67" s="3" t="s">
        <v>29</v>
      </c>
      <c r="K67" s="3" t="s">
        <v>30</v>
      </c>
      <c r="L67" s="3" t="s">
        <v>31</v>
      </c>
      <c r="M67" s="3" t="s">
        <v>32</v>
      </c>
      <c r="N67" s="3" t="s">
        <v>42</v>
      </c>
      <c r="O67" s="4" t="n">
        <v>45316</v>
      </c>
      <c r="P67" s="3" t="n">
        <f aca="false">ROUND((About!$B$3-O67)/365.25,1)</f>
        <v>2.6</v>
      </c>
      <c r="Q67" s="3" t="str">
        <f aca="false">IF(O67&gt;About!$B$4,"Yes","No")</f>
        <v>No</v>
      </c>
      <c r="R67" s="3" t="s">
        <v>271</v>
      </c>
      <c r="S67" s="3" t="str">
        <f aca="false">IF(R67="","",INDEX($B$2:$B$231,MATCH(R67,$A$2:$A$231,0))&amp;" "&amp;INDEX($C$2:$C$231,MATCH(R67,$A$2:$A$231,0)))</f>
        <v>Ines Duarte</v>
      </c>
      <c r="T67" s="3" t="s">
        <v>34</v>
      </c>
      <c r="U67" s="3" t="str">
        <f aca="false">H67&amp;" | "&amp;G67</f>
        <v>Litigation &amp; Disputes | Lawyer - Mid</v>
      </c>
    </row>
    <row r="68" customFormat="false" ht="15" hidden="false" customHeight="true" outlineLevel="0" collapsed="false">
      <c r="A68" s="3" t="s">
        <v>306</v>
      </c>
      <c r="B68" s="3" t="s">
        <v>307</v>
      </c>
      <c r="C68" s="3" t="s">
        <v>308</v>
      </c>
      <c r="D68" s="3" t="s">
        <v>309</v>
      </c>
      <c r="E68" s="3" t="s">
        <v>116</v>
      </c>
      <c r="F68" s="3" t="s">
        <v>117</v>
      </c>
      <c r="G68" s="3" t="s">
        <v>118</v>
      </c>
      <c r="H68" s="3" t="s">
        <v>275</v>
      </c>
      <c r="I68" s="3"/>
      <c r="J68" s="3" t="s">
        <v>29</v>
      </c>
      <c r="K68" s="3" t="s">
        <v>30</v>
      </c>
      <c r="L68" s="3" t="s">
        <v>31</v>
      </c>
      <c r="M68" s="3" t="s">
        <v>32</v>
      </c>
      <c r="N68" s="3" t="s">
        <v>33</v>
      </c>
      <c r="O68" s="4" t="n">
        <v>45174</v>
      </c>
      <c r="P68" s="3" t="n">
        <f aca="false">ROUND((About!$B$3-O68)/365.25,1)</f>
        <v>3</v>
      </c>
      <c r="Q68" s="3" t="str">
        <f aca="false">IF(O68&gt;About!$B$4,"Yes","No")</f>
        <v>No</v>
      </c>
      <c r="R68" s="3" t="s">
        <v>271</v>
      </c>
      <c r="S68" s="3" t="str">
        <f aca="false">IF(R68="","",INDEX($B$2:$B$231,MATCH(R68,$A$2:$A$231,0))&amp;" "&amp;INDEX($C$2:$C$231,MATCH(R68,$A$2:$A$231,0)))</f>
        <v>Ines Duarte</v>
      </c>
      <c r="T68" s="3" t="s">
        <v>34</v>
      </c>
      <c r="U68" s="3" t="str">
        <f aca="false">H68&amp;" | "&amp;G68</f>
        <v>Litigation &amp; Disputes | Lawyer - Senior</v>
      </c>
    </row>
    <row r="69" customFormat="false" ht="15" hidden="false" customHeight="true" outlineLevel="0" collapsed="false">
      <c r="A69" s="3" t="s">
        <v>310</v>
      </c>
      <c r="B69" s="3" t="s">
        <v>311</v>
      </c>
      <c r="C69" s="3" t="s">
        <v>293</v>
      </c>
      <c r="D69" s="3" t="s">
        <v>312</v>
      </c>
      <c r="E69" s="3" t="s">
        <v>72</v>
      </c>
      <c r="F69" s="3" t="s">
        <v>73</v>
      </c>
      <c r="G69" s="3" t="s">
        <v>74</v>
      </c>
      <c r="H69" s="3" t="s">
        <v>275</v>
      </c>
      <c r="I69" s="3"/>
      <c r="J69" s="3" t="s">
        <v>123</v>
      </c>
      <c r="K69" s="3" t="s">
        <v>30</v>
      </c>
      <c r="L69" s="3" t="s">
        <v>31</v>
      </c>
      <c r="M69" s="3" t="s">
        <v>90</v>
      </c>
      <c r="N69" s="3" t="s">
        <v>124</v>
      </c>
      <c r="O69" s="4" t="n">
        <v>43285</v>
      </c>
      <c r="P69" s="3" t="n">
        <f aca="false">ROUND((About!$B$3-O69)/365.25,1)</f>
        <v>8.2</v>
      </c>
      <c r="Q69" s="3" t="str">
        <f aca="false">IF(O69&gt;About!$B$4,"Yes","No")</f>
        <v>No</v>
      </c>
      <c r="R69" s="3" t="s">
        <v>271</v>
      </c>
      <c r="S69" s="3" t="str">
        <f aca="false">IF(R69="","",INDEX($B$2:$B$231,MATCH(R69,$A$2:$A$231,0))&amp;" "&amp;INDEX($C$2:$C$231,MATCH(R69,$A$2:$A$231,0)))</f>
        <v>Ines Duarte</v>
      </c>
      <c r="T69" s="3" t="s">
        <v>34</v>
      </c>
      <c r="U69" s="3" t="str">
        <f aca="false">H69&amp;" | "&amp;G69</f>
        <v>Litigation &amp; Disputes | Lawyer - Mid</v>
      </c>
    </row>
    <row r="70" customFormat="false" ht="15" hidden="false" customHeight="true" outlineLevel="0" collapsed="false">
      <c r="A70" s="3" t="s">
        <v>313</v>
      </c>
      <c r="B70" s="3" t="s">
        <v>165</v>
      </c>
      <c r="C70" s="3" t="s">
        <v>314</v>
      </c>
      <c r="D70" s="3" t="s">
        <v>315</v>
      </c>
      <c r="E70" s="3" t="s">
        <v>116</v>
      </c>
      <c r="F70" s="3" t="s">
        <v>117</v>
      </c>
      <c r="G70" s="3" t="s">
        <v>118</v>
      </c>
      <c r="H70" s="3" t="s">
        <v>275</v>
      </c>
      <c r="I70" s="3"/>
      <c r="J70" s="3" t="s">
        <v>29</v>
      </c>
      <c r="K70" s="3" t="s">
        <v>30</v>
      </c>
      <c r="L70" s="3" t="s">
        <v>31</v>
      </c>
      <c r="M70" s="3" t="s">
        <v>32</v>
      </c>
      <c r="N70" s="3" t="s">
        <v>42</v>
      </c>
      <c r="O70" s="4" t="n">
        <v>45244</v>
      </c>
      <c r="P70" s="3" t="n">
        <f aca="false">ROUND((About!$B$3-O70)/365.25,1)</f>
        <v>2.8</v>
      </c>
      <c r="Q70" s="3" t="str">
        <f aca="false">IF(O70&gt;About!$B$4,"Yes","No")</f>
        <v>No</v>
      </c>
      <c r="R70" s="3" t="s">
        <v>271</v>
      </c>
      <c r="S70" s="3" t="str">
        <f aca="false">IF(R70="","",INDEX($B$2:$B$231,MATCH(R70,$A$2:$A$231,0))&amp;" "&amp;INDEX($C$2:$C$231,MATCH(R70,$A$2:$A$231,0)))</f>
        <v>Ines Duarte</v>
      </c>
      <c r="T70" s="3" t="s">
        <v>34</v>
      </c>
      <c r="U70" s="3" t="str">
        <f aca="false">H70&amp;" | "&amp;G70</f>
        <v>Litigation &amp; Disputes | Lawyer - Senior</v>
      </c>
    </row>
    <row r="71" customFormat="false" ht="15" hidden="false" customHeight="true" outlineLevel="0" collapsed="false">
      <c r="A71" s="3" t="s">
        <v>316</v>
      </c>
      <c r="B71" s="3" t="s">
        <v>272</v>
      </c>
      <c r="C71" s="3" t="s">
        <v>201</v>
      </c>
      <c r="D71" s="3" t="s">
        <v>317</v>
      </c>
      <c r="E71" s="3" t="s">
        <v>72</v>
      </c>
      <c r="F71" s="3" t="s">
        <v>73</v>
      </c>
      <c r="G71" s="3" t="s">
        <v>74</v>
      </c>
      <c r="H71" s="3" t="s">
        <v>275</v>
      </c>
      <c r="I71" s="3"/>
      <c r="J71" s="3" t="s">
        <v>29</v>
      </c>
      <c r="K71" s="3" t="s">
        <v>30</v>
      </c>
      <c r="L71" s="3" t="s">
        <v>31</v>
      </c>
      <c r="M71" s="3" t="s">
        <v>32</v>
      </c>
      <c r="N71" s="3" t="s">
        <v>33</v>
      </c>
      <c r="O71" s="4" t="n">
        <v>44656</v>
      </c>
      <c r="P71" s="3" t="n">
        <f aca="false">ROUND((About!$B$3-O71)/365.25,1)</f>
        <v>4.4</v>
      </c>
      <c r="Q71" s="3" t="str">
        <f aca="false">IF(O71&gt;About!$B$4,"Yes","No")</f>
        <v>No</v>
      </c>
      <c r="R71" s="3" t="s">
        <v>271</v>
      </c>
      <c r="S71" s="3" t="str">
        <f aca="false">IF(R71="","",INDEX($B$2:$B$231,MATCH(R71,$A$2:$A$231,0))&amp;" "&amp;INDEX($C$2:$C$231,MATCH(R71,$A$2:$A$231,0)))</f>
        <v>Ines Duarte</v>
      </c>
      <c r="T71" s="3" t="s">
        <v>34</v>
      </c>
      <c r="U71" s="3" t="str">
        <f aca="false">H71&amp;" | "&amp;G71</f>
        <v>Litigation &amp; Disputes | Lawyer - Mid</v>
      </c>
    </row>
    <row r="72" customFormat="false" ht="15" hidden="false" customHeight="true" outlineLevel="0" collapsed="false">
      <c r="A72" s="3" t="s">
        <v>318</v>
      </c>
      <c r="B72" s="3" t="s">
        <v>319</v>
      </c>
      <c r="C72" s="3" t="s">
        <v>320</v>
      </c>
      <c r="D72" s="3" t="s">
        <v>321</v>
      </c>
      <c r="E72" s="3" t="s">
        <v>72</v>
      </c>
      <c r="F72" s="3" t="s">
        <v>73</v>
      </c>
      <c r="G72" s="3" t="s">
        <v>74</v>
      </c>
      <c r="H72" s="3" t="s">
        <v>275</v>
      </c>
      <c r="I72" s="3"/>
      <c r="J72" s="3" t="s">
        <v>148</v>
      </c>
      <c r="K72" s="3" t="s">
        <v>30</v>
      </c>
      <c r="L72" s="3" t="s">
        <v>31</v>
      </c>
      <c r="M72" s="3" t="s">
        <v>90</v>
      </c>
      <c r="N72" s="3" t="s">
        <v>42</v>
      </c>
      <c r="O72" s="4" t="n">
        <v>46014</v>
      </c>
      <c r="P72" s="3" t="n">
        <f aca="false">ROUND((About!$B$3-O72)/365.25,1)</f>
        <v>0.7</v>
      </c>
      <c r="Q72" s="3" t="str">
        <f aca="false">IF(O72&gt;About!$B$4,"Yes","No")</f>
        <v>Yes</v>
      </c>
      <c r="R72" s="3" t="s">
        <v>271</v>
      </c>
      <c r="S72" s="3" t="str">
        <f aca="false">IF(R72="","",INDEX($B$2:$B$231,MATCH(R72,$A$2:$A$231,0))&amp;" "&amp;INDEX($C$2:$C$231,MATCH(R72,$A$2:$A$231,0)))</f>
        <v>Ines Duarte</v>
      </c>
      <c r="T72" s="3" t="s">
        <v>34</v>
      </c>
      <c r="U72" s="3" t="str">
        <f aca="false">H72&amp;" | "&amp;G72</f>
        <v>Litigation &amp; Disputes | Lawyer - Mid</v>
      </c>
    </row>
    <row r="73" customFormat="false" ht="15" hidden="false" customHeight="true" outlineLevel="0" collapsed="false">
      <c r="A73" s="3" t="s">
        <v>322</v>
      </c>
      <c r="B73" s="3" t="s">
        <v>307</v>
      </c>
      <c r="C73" s="3" t="s">
        <v>323</v>
      </c>
      <c r="D73" s="3" t="s">
        <v>324</v>
      </c>
      <c r="E73" s="3" t="s">
        <v>58</v>
      </c>
      <c r="F73" s="3" t="s">
        <v>59</v>
      </c>
      <c r="G73" s="3" t="s">
        <v>60</v>
      </c>
      <c r="H73" s="3" t="s">
        <v>275</v>
      </c>
      <c r="I73" s="3"/>
      <c r="J73" s="3" t="s">
        <v>123</v>
      </c>
      <c r="K73" s="3" t="s">
        <v>30</v>
      </c>
      <c r="L73" s="3" t="s">
        <v>31</v>
      </c>
      <c r="M73" s="3" t="s">
        <v>90</v>
      </c>
      <c r="N73" s="3" t="s">
        <v>33</v>
      </c>
      <c r="O73" s="4" t="n">
        <v>39814</v>
      </c>
      <c r="P73" s="3" t="n">
        <f aca="false">ROUND((About!$B$3-O73)/365.25,1)</f>
        <v>17.7</v>
      </c>
      <c r="Q73" s="3" t="str">
        <f aca="false">IF(O73&gt;About!$B$4,"Yes","No")</f>
        <v>No</v>
      </c>
      <c r="R73" s="3" t="s">
        <v>271</v>
      </c>
      <c r="S73" s="3" t="str">
        <f aca="false">IF(R73="","",INDEX($B$2:$B$231,MATCH(R73,$A$2:$A$231,0))&amp;" "&amp;INDEX($C$2:$C$231,MATCH(R73,$A$2:$A$231,0)))</f>
        <v>Ines Duarte</v>
      </c>
      <c r="T73" s="3" t="s">
        <v>34</v>
      </c>
      <c r="U73" s="3" t="str">
        <f aca="false">H73&amp;" | "&amp;G73</f>
        <v>Litigation &amp; Disputes | Lawyer - Junior</v>
      </c>
    </row>
    <row r="74" customFormat="false" ht="15" hidden="false" customHeight="true" outlineLevel="0" collapsed="false">
      <c r="A74" s="3" t="s">
        <v>325</v>
      </c>
      <c r="B74" s="3" t="s">
        <v>326</v>
      </c>
      <c r="C74" s="3" t="s">
        <v>327</v>
      </c>
      <c r="D74" s="3" t="s">
        <v>328</v>
      </c>
      <c r="E74" s="3" t="s">
        <v>58</v>
      </c>
      <c r="F74" s="3" t="s">
        <v>59</v>
      </c>
      <c r="G74" s="3" t="s">
        <v>60</v>
      </c>
      <c r="H74" s="3" t="s">
        <v>275</v>
      </c>
      <c r="I74" s="3"/>
      <c r="J74" s="3" t="s">
        <v>123</v>
      </c>
      <c r="K74" s="3" t="s">
        <v>30</v>
      </c>
      <c r="L74" s="3" t="s">
        <v>31</v>
      </c>
      <c r="M74" s="3" t="s">
        <v>90</v>
      </c>
      <c r="N74" s="3" t="s">
        <v>33</v>
      </c>
      <c r="O74" s="4" t="n">
        <v>42019</v>
      </c>
      <c r="P74" s="3" t="n">
        <f aca="false">ROUND((About!$B$3-O74)/365.25,1)</f>
        <v>11.6</v>
      </c>
      <c r="Q74" s="3" t="str">
        <f aca="false">IF(O74&gt;About!$B$4,"Yes","No")</f>
        <v>No</v>
      </c>
      <c r="R74" s="3" t="s">
        <v>271</v>
      </c>
      <c r="S74" s="3" t="str">
        <f aca="false">IF(R74="","",INDEX($B$2:$B$231,MATCH(R74,$A$2:$A$231,0))&amp;" "&amp;INDEX($C$2:$C$231,MATCH(R74,$A$2:$A$231,0)))</f>
        <v>Ines Duarte</v>
      </c>
      <c r="T74" s="3" t="s">
        <v>34</v>
      </c>
      <c r="U74" s="3" t="str">
        <f aca="false">H74&amp;" | "&amp;G74</f>
        <v>Litigation &amp; Disputes | Lawyer - Junior</v>
      </c>
    </row>
    <row r="75" customFormat="false" ht="15" hidden="false" customHeight="true" outlineLevel="0" collapsed="false">
      <c r="A75" s="3" t="s">
        <v>329</v>
      </c>
      <c r="B75" s="3" t="s">
        <v>228</v>
      </c>
      <c r="C75" s="3" t="s">
        <v>37</v>
      </c>
      <c r="D75" s="3" t="s">
        <v>330</v>
      </c>
      <c r="E75" s="3" t="s">
        <v>58</v>
      </c>
      <c r="F75" s="3" t="s">
        <v>59</v>
      </c>
      <c r="G75" s="3" t="s">
        <v>60</v>
      </c>
      <c r="H75" s="3" t="s">
        <v>275</v>
      </c>
      <c r="I75" s="3"/>
      <c r="J75" s="3" t="s">
        <v>111</v>
      </c>
      <c r="K75" s="3" t="s">
        <v>30</v>
      </c>
      <c r="L75" s="3" t="s">
        <v>31</v>
      </c>
      <c r="M75" s="3" t="s">
        <v>90</v>
      </c>
      <c r="N75" s="3" t="s">
        <v>33</v>
      </c>
      <c r="O75" s="4" t="n">
        <v>42032</v>
      </c>
      <c r="P75" s="3" t="n">
        <f aca="false">ROUND((About!$B$3-O75)/365.25,1)</f>
        <v>11.6</v>
      </c>
      <c r="Q75" s="3" t="str">
        <f aca="false">IF(O75&gt;About!$B$4,"Yes","No")</f>
        <v>No</v>
      </c>
      <c r="R75" s="3" t="s">
        <v>271</v>
      </c>
      <c r="S75" s="3" t="str">
        <f aca="false">IF(R75="","",INDEX($B$2:$B$231,MATCH(R75,$A$2:$A$231,0))&amp;" "&amp;INDEX($C$2:$C$231,MATCH(R75,$A$2:$A$231,0)))</f>
        <v>Ines Duarte</v>
      </c>
      <c r="T75" s="3" t="s">
        <v>34</v>
      </c>
      <c r="U75" s="3" t="str">
        <f aca="false">H75&amp;" | "&amp;G75</f>
        <v>Litigation &amp; Disputes | Lawyer - Junior</v>
      </c>
    </row>
    <row r="76" customFormat="false" ht="15" hidden="false" customHeight="true" outlineLevel="0" collapsed="false">
      <c r="A76" s="3" t="s">
        <v>331</v>
      </c>
      <c r="B76" s="3" t="s">
        <v>332</v>
      </c>
      <c r="C76" s="3" t="s">
        <v>333</v>
      </c>
      <c r="D76" s="3" t="s">
        <v>334</v>
      </c>
      <c r="E76" s="3" t="s">
        <v>58</v>
      </c>
      <c r="F76" s="3" t="s">
        <v>59</v>
      </c>
      <c r="G76" s="3" t="s">
        <v>60</v>
      </c>
      <c r="H76" s="3" t="s">
        <v>275</v>
      </c>
      <c r="I76" s="3"/>
      <c r="J76" s="3" t="s">
        <v>29</v>
      </c>
      <c r="K76" s="3" t="s">
        <v>30</v>
      </c>
      <c r="L76" s="3" t="s">
        <v>31</v>
      </c>
      <c r="M76" s="3" t="s">
        <v>32</v>
      </c>
      <c r="N76" s="3" t="s">
        <v>124</v>
      </c>
      <c r="O76" s="4" t="n">
        <v>45618</v>
      </c>
      <c r="P76" s="3" t="n">
        <f aca="false">ROUND((About!$B$3-O76)/365.25,1)</f>
        <v>1.8</v>
      </c>
      <c r="Q76" s="3" t="str">
        <f aca="false">IF(O76&gt;About!$B$4,"Yes","No")</f>
        <v>Yes</v>
      </c>
      <c r="R76" s="3" t="s">
        <v>271</v>
      </c>
      <c r="S76" s="3" t="str">
        <f aca="false">IF(R76="","",INDEX($B$2:$B$231,MATCH(R76,$A$2:$A$231,0))&amp;" "&amp;INDEX($C$2:$C$231,MATCH(R76,$A$2:$A$231,0)))</f>
        <v>Ines Duarte</v>
      </c>
      <c r="T76" s="3" t="s">
        <v>34</v>
      </c>
      <c r="U76" s="3" t="str">
        <f aca="false">H76&amp;" | "&amp;G76</f>
        <v>Litigation &amp; Disputes | Lawyer - Junior</v>
      </c>
    </row>
    <row r="77" customFormat="false" ht="15" hidden="false" customHeight="true" outlineLevel="0" collapsed="false">
      <c r="A77" s="3" t="s">
        <v>335</v>
      </c>
      <c r="B77" s="3" t="s">
        <v>336</v>
      </c>
      <c r="C77" s="3" t="s">
        <v>239</v>
      </c>
      <c r="D77" s="3" t="s">
        <v>337</v>
      </c>
      <c r="E77" s="3" t="s">
        <v>72</v>
      </c>
      <c r="F77" s="3" t="s">
        <v>73</v>
      </c>
      <c r="G77" s="3" t="s">
        <v>74</v>
      </c>
      <c r="H77" s="3" t="s">
        <v>275</v>
      </c>
      <c r="I77" s="3"/>
      <c r="J77" s="3" t="s">
        <v>29</v>
      </c>
      <c r="K77" s="3" t="s">
        <v>30</v>
      </c>
      <c r="L77" s="3" t="s">
        <v>31</v>
      </c>
      <c r="M77" s="3" t="s">
        <v>32</v>
      </c>
      <c r="N77" s="3" t="s">
        <v>33</v>
      </c>
      <c r="O77" s="4" t="n">
        <v>46048</v>
      </c>
      <c r="P77" s="3" t="n">
        <f aca="false">ROUND((About!$B$3-O77)/365.25,1)</f>
        <v>0.6</v>
      </c>
      <c r="Q77" s="3" t="str">
        <f aca="false">IF(O77&gt;About!$B$4,"Yes","No")</f>
        <v>Yes</v>
      </c>
      <c r="R77" s="3" t="s">
        <v>271</v>
      </c>
      <c r="S77" s="3" t="str">
        <f aca="false">IF(R77="","",INDEX($B$2:$B$231,MATCH(R77,$A$2:$A$231,0))&amp;" "&amp;INDEX($C$2:$C$231,MATCH(R77,$A$2:$A$231,0)))</f>
        <v>Ines Duarte</v>
      </c>
      <c r="T77" s="3" t="s">
        <v>34</v>
      </c>
      <c r="U77" s="3" t="str">
        <f aca="false">H77&amp;" | "&amp;G77</f>
        <v>Litigation &amp; Disputes | Lawyer - Mid</v>
      </c>
    </row>
    <row r="78" customFormat="false" ht="15" hidden="false" customHeight="true" outlineLevel="0" collapsed="false">
      <c r="A78" s="3" t="s">
        <v>338</v>
      </c>
      <c r="B78" s="3" t="s">
        <v>208</v>
      </c>
      <c r="C78" s="3" t="s">
        <v>188</v>
      </c>
      <c r="D78" s="3" t="s">
        <v>339</v>
      </c>
      <c r="E78" s="3" t="s">
        <v>116</v>
      </c>
      <c r="F78" s="3" t="s">
        <v>117</v>
      </c>
      <c r="G78" s="3" t="s">
        <v>118</v>
      </c>
      <c r="H78" s="3" t="s">
        <v>275</v>
      </c>
      <c r="I78" s="3"/>
      <c r="J78" s="3" t="s">
        <v>95</v>
      </c>
      <c r="K78" s="3" t="s">
        <v>30</v>
      </c>
      <c r="L78" s="3" t="s">
        <v>31</v>
      </c>
      <c r="M78" s="3" t="s">
        <v>90</v>
      </c>
      <c r="N78" s="3" t="s">
        <v>33</v>
      </c>
      <c r="O78" s="4" t="n">
        <v>43375</v>
      </c>
      <c r="P78" s="3" t="n">
        <f aca="false">ROUND((About!$B$3-O78)/365.25,1)</f>
        <v>7.9</v>
      </c>
      <c r="Q78" s="3" t="str">
        <f aca="false">IF(O78&gt;About!$B$4,"Yes","No")</f>
        <v>No</v>
      </c>
      <c r="R78" s="3" t="s">
        <v>271</v>
      </c>
      <c r="S78" s="3" t="str">
        <f aca="false">IF(R78="","",INDEX($B$2:$B$231,MATCH(R78,$A$2:$A$231,0))&amp;" "&amp;INDEX($C$2:$C$231,MATCH(R78,$A$2:$A$231,0)))</f>
        <v>Ines Duarte</v>
      </c>
      <c r="T78" s="3" t="s">
        <v>34</v>
      </c>
      <c r="U78" s="3" t="str">
        <f aca="false">H78&amp;" | "&amp;G78</f>
        <v>Litigation &amp; Disputes | Lawyer - Senior</v>
      </c>
    </row>
    <row r="79" customFormat="false" ht="15" hidden="false" customHeight="true" outlineLevel="0" collapsed="false">
      <c r="A79" s="3" t="s">
        <v>340</v>
      </c>
      <c r="B79" s="3" t="s">
        <v>319</v>
      </c>
      <c r="C79" s="3" t="s">
        <v>341</v>
      </c>
      <c r="D79" s="3" t="s">
        <v>342</v>
      </c>
      <c r="E79" s="3" t="s">
        <v>116</v>
      </c>
      <c r="F79" s="3" t="s">
        <v>117</v>
      </c>
      <c r="G79" s="3" t="s">
        <v>118</v>
      </c>
      <c r="H79" s="3" t="s">
        <v>275</v>
      </c>
      <c r="I79" s="3"/>
      <c r="J79" s="3" t="s">
        <v>29</v>
      </c>
      <c r="K79" s="3" t="s">
        <v>30</v>
      </c>
      <c r="L79" s="3" t="s">
        <v>31</v>
      </c>
      <c r="M79" s="3" t="s">
        <v>32</v>
      </c>
      <c r="N79" s="3" t="s">
        <v>33</v>
      </c>
      <c r="O79" s="4" t="n">
        <v>45212</v>
      </c>
      <c r="P79" s="3" t="n">
        <f aca="false">ROUND((About!$B$3-O79)/365.25,1)</f>
        <v>2.9</v>
      </c>
      <c r="Q79" s="3" t="str">
        <f aca="false">IF(O79&gt;About!$B$4,"Yes","No")</f>
        <v>No</v>
      </c>
      <c r="R79" s="3" t="s">
        <v>271</v>
      </c>
      <c r="S79" s="3" t="str">
        <f aca="false">IF(R79="","",INDEX($B$2:$B$231,MATCH(R79,$A$2:$A$231,0))&amp;" "&amp;INDEX($C$2:$C$231,MATCH(R79,$A$2:$A$231,0)))</f>
        <v>Ines Duarte</v>
      </c>
      <c r="T79" s="3" t="s">
        <v>34</v>
      </c>
      <c r="U79" s="3" t="str">
        <f aca="false">H79&amp;" | "&amp;G79</f>
        <v>Litigation &amp; Disputes | Lawyer - Senior</v>
      </c>
    </row>
    <row r="80" customFormat="false" ht="15" hidden="false" customHeight="true" outlineLevel="0" collapsed="false">
      <c r="A80" s="3" t="s">
        <v>343</v>
      </c>
      <c r="B80" s="3" t="s">
        <v>92</v>
      </c>
      <c r="C80" s="3" t="s">
        <v>344</v>
      </c>
      <c r="D80" s="3" t="s">
        <v>345</v>
      </c>
      <c r="E80" s="3" t="s">
        <v>72</v>
      </c>
      <c r="F80" s="3" t="s">
        <v>73</v>
      </c>
      <c r="G80" s="3" t="s">
        <v>74</v>
      </c>
      <c r="H80" s="3" t="s">
        <v>275</v>
      </c>
      <c r="I80" s="3"/>
      <c r="J80" s="3" t="s">
        <v>148</v>
      </c>
      <c r="K80" s="3" t="s">
        <v>30</v>
      </c>
      <c r="L80" s="3" t="s">
        <v>31</v>
      </c>
      <c r="M80" s="3" t="s">
        <v>90</v>
      </c>
      <c r="N80" s="3" t="s">
        <v>124</v>
      </c>
      <c r="O80" s="4" t="n">
        <v>43408</v>
      </c>
      <c r="P80" s="3" t="n">
        <f aca="false">ROUND((About!$B$3-O80)/365.25,1)</f>
        <v>7.8</v>
      </c>
      <c r="Q80" s="3" t="str">
        <f aca="false">IF(O80&gt;About!$B$4,"Yes","No")</f>
        <v>No</v>
      </c>
      <c r="R80" s="3" t="s">
        <v>271</v>
      </c>
      <c r="S80" s="3" t="str">
        <f aca="false">IF(R80="","",INDEX($B$2:$B$231,MATCH(R80,$A$2:$A$231,0))&amp;" "&amp;INDEX($C$2:$C$231,MATCH(R80,$A$2:$A$231,0)))</f>
        <v>Ines Duarte</v>
      </c>
      <c r="T80" s="3" t="s">
        <v>34</v>
      </c>
      <c r="U80" s="3" t="str">
        <f aca="false">H80&amp;" | "&amp;G80</f>
        <v>Litigation &amp; Disputes | Lawyer - Mid</v>
      </c>
    </row>
    <row r="81" customFormat="false" ht="15" hidden="false" customHeight="true" outlineLevel="0" collapsed="false">
      <c r="A81" s="3" t="s">
        <v>346</v>
      </c>
      <c r="B81" s="3" t="s">
        <v>105</v>
      </c>
      <c r="C81" s="3" t="s">
        <v>347</v>
      </c>
      <c r="D81" s="3" t="s">
        <v>348</v>
      </c>
      <c r="E81" s="3" t="s">
        <v>58</v>
      </c>
      <c r="F81" s="3" t="s">
        <v>59</v>
      </c>
      <c r="G81" s="3" t="s">
        <v>60</v>
      </c>
      <c r="H81" s="3" t="s">
        <v>275</v>
      </c>
      <c r="I81" s="3"/>
      <c r="J81" s="3" t="s">
        <v>29</v>
      </c>
      <c r="K81" s="3" t="s">
        <v>30</v>
      </c>
      <c r="L81" s="3" t="s">
        <v>31</v>
      </c>
      <c r="M81" s="3" t="s">
        <v>32</v>
      </c>
      <c r="N81" s="3" t="s">
        <v>33</v>
      </c>
      <c r="O81" s="4" t="n">
        <v>41153</v>
      </c>
      <c r="P81" s="3" t="n">
        <f aca="false">ROUND((About!$B$3-O81)/365.25,1)</f>
        <v>14</v>
      </c>
      <c r="Q81" s="3" t="str">
        <f aca="false">IF(O81&gt;About!$B$4,"Yes","No")</f>
        <v>No</v>
      </c>
      <c r="R81" s="3" t="s">
        <v>271</v>
      </c>
      <c r="S81" s="3" t="str">
        <f aca="false">IF(R81="","",INDEX($B$2:$B$231,MATCH(R81,$A$2:$A$231,0))&amp;" "&amp;INDEX($C$2:$C$231,MATCH(R81,$A$2:$A$231,0)))</f>
        <v>Ines Duarte</v>
      </c>
      <c r="T81" s="3" t="s">
        <v>34</v>
      </c>
      <c r="U81" s="3" t="str">
        <f aca="false">H81&amp;" | "&amp;G81</f>
        <v>Litigation &amp; Disputes | Lawyer - Junior</v>
      </c>
    </row>
    <row r="82" customFormat="false" ht="15" hidden="false" customHeight="true" outlineLevel="0" collapsed="false">
      <c r="A82" s="3" t="s">
        <v>349</v>
      </c>
      <c r="B82" s="3" t="s">
        <v>223</v>
      </c>
      <c r="C82" s="3" t="s">
        <v>350</v>
      </c>
      <c r="D82" s="3" t="s">
        <v>351</v>
      </c>
      <c r="E82" s="3" t="s">
        <v>58</v>
      </c>
      <c r="F82" s="3" t="s">
        <v>59</v>
      </c>
      <c r="G82" s="3" t="s">
        <v>60</v>
      </c>
      <c r="H82" s="3" t="s">
        <v>275</v>
      </c>
      <c r="I82" s="3"/>
      <c r="J82" s="3" t="s">
        <v>29</v>
      </c>
      <c r="K82" s="3" t="s">
        <v>30</v>
      </c>
      <c r="L82" s="3" t="s">
        <v>31</v>
      </c>
      <c r="M82" s="3" t="s">
        <v>32</v>
      </c>
      <c r="N82" s="3" t="s">
        <v>33</v>
      </c>
      <c r="O82" s="4" t="n">
        <v>45927</v>
      </c>
      <c r="P82" s="3" t="n">
        <f aca="false">ROUND((About!$B$3-O82)/365.25,1)</f>
        <v>1</v>
      </c>
      <c r="Q82" s="3" t="str">
        <f aca="false">IF(O82&gt;About!$B$4,"Yes","No")</f>
        <v>Yes</v>
      </c>
      <c r="R82" s="3" t="s">
        <v>271</v>
      </c>
      <c r="S82" s="3" t="str">
        <f aca="false">IF(R82="","",INDEX($B$2:$B$231,MATCH(R82,$A$2:$A$231,0))&amp;" "&amp;INDEX($C$2:$C$231,MATCH(R82,$A$2:$A$231,0)))</f>
        <v>Ines Duarte</v>
      </c>
      <c r="T82" s="3" t="s">
        <v>34</v>
      </c>
      <c r="U82" s="3" t="str">
        <f aca="false">H82&amp;" | "&amp;G82</f>
        <v>Litigation &amp; Disputes | Lawyer - Junior</v>
      </c>
    </row>
    <row r="83" customFormat="false" ht="15" hidden="false" customHeight="true" outlineLevel="0" collapsed="false">
      <c r="A83" s="3" t="s">
        <v>352</v>
      </c>
      <c r="B83" s="3" t="s">
        <v>279</v>
      </c>
      <c r="C83" s="3" t="s">
        <v>169</v>
      </c>
      <c r="D83" s="3" t="s">
        <v>353</v>
      </c>
      <c r="E83" s="3" t="s">
        <v>58</v>
      </c>
      <c r="F83" s="3" t="s">
        <v>59</v>
      </c>
      <c r="G83" s="3" t="s">
        <v>60</v>
      </c>
      <c r="H83" s="3" t="s">
        <v>275</v>
      </c>
      <c r="I83" s="3"/>
      <c r="J83" s="3" t="s">
        <v>95</v>
      </c>
      <c r="K83" s="3" t="s">
        <v>30</v>
      </c>
      <c r="L83" s="3" t="s">
        <v>31</v>
      </c>
      <c r="M83" s="3" t="s">
        <v>90</v>
      </c>
      <c r="N83" s="3" t="s">
        <v>33</v>
      </c>
      <c r="O83" s="4" t="n">
        <v>46075</v>
      </c>
      <c r="P83" s="3" t="n">
        <f aca="false">ROUND((About!$B$3-O83)/365.25,1)</f>
        <v>0.5</v>
      </c>
      <c r="Q83" s="3" t="str">
        <f aca="false">IF(O83&gt;About!$B$4,"Yes","No")</f>
        <v>Yes</v>
      </c>
      <c r="R83" s="3" t="s">
        <v>271</v>
      </c>
      <c r="S83" s="3" t="str">
        <f aca="false">IF(R83="","",INDEX($B$2:$B$231,MATCH(R83,$A$2:$A$231,0))&amp;" "&amp;INDEX($C$2:$C$231,MATCH(R83,$A$2:$A$231,0)))</f>
        <v>Ines Duarte</v>
      </c>
      <c r="T83" s="3" t="s">
        <v>34</v>
      </c>
      <c r="U83" s="3" t="str">
        <f aca="false">H83&amp;" | "&amp;G83</f>
        <v>Litigation &amp; Disputes | Lawyer - Junior</v>
      </c>
    </row>
    <row r="84" customFormat="false" ht="15" hidden="false" customHeight="true" outlineLevel="0" collapsed="false">
      <c r="A84" s="3" t="s">
        <v>198</v>
      </c>
      <c r="B84" s="3" t="s">
        <v>354</v>
      </c>
      <c r="C84" s="3" t="s">
        <v>355</v>
      </c>
      <c r="D84" s="3" t="s">
        <v>356</v>
      </c>
      <c r="E84" s="3" t="s">
        <v>357</v>
      </c>
      <c r="F84" s="3" t="s">
        <v>219</v>
      </c>
      <c r="G84" s="3" t="s">
        <v>220</v>
      </c>
      <c r="H84" s="3" t="s">
        <v>275</v>
      </c>
      <c r="I84" s="3" t="s">
        <v>197</v>
      </c>
      <c r="J84" s="3" t="s">
        <v>29</v>
      </c>
      <c r="K84" s="3" t="s">
        <v>30</v>
      </c>
      <c r="L84" s="3" t="s">
        <v>31</v>
      </c>
      <c r="M84" s="3" t="s">
        <v>32</v>
      </c>
      <c r="N84" s="3" t="s">
        <v>33</v>
      </c>
      <c r="O84" s="4" t="n">
        <v>39806</v>
      </c>
      <c r="P84" s="3" t="n">
        <f aca="false">ROUND((About!$B$3-O84)/365.25,1)</f>
        <v>17.7</v>
      </c>
      <c r="Q84" s="3" t="str">
        <f aca="false">IF(O84&gt;About!$B$4,"Yes","No")</f>
        <v>No</v>
      </c>
      <c r="R84" s="3" t="s">
        <v>271</v>
      </c>
      <c r="S84" s="3" t="str">
        <f aca="false">IF(R84="","",INDEX($B$2:$B$231,MATCH(R84,$A$2:$A$231,0))&amp;" "&amp;INDEX($C$2:$C$231,MATCH(R84,$A$2:$A$231,0)))</f>
        <v>Ines Duarte</v>
      </c>
      <c r="T84" s="3" t="s">
        <v>34</v>
      </c>
      <c r="U84" s="3" t="str">
        <f aca="false">H84&amp;" | "&amp;G84</f>
        <v>Litigation &amp; Disputes | Paraprofessional - Lead</v>
      </c>
    </row>
    <row r="85" customFormat="false" ht="15" hidden="false" customHeight="true" outlineLevel="0" collapsed="false">
      <c r="A85" s="3" t="s">
        <v>358</v>
      </c>
      <c r="B85" s="3" t="s">
        <v>359</v>
      </c>
      <c r="C85" s="3" t="s">
        <v>360</v>
      </c>
      <c r="D85" s="3" t="s">
        <v>361</v>
      </c>
      <c r="E85" s="3" t="s">
        <v>362</v>
      </c>
      <c r="F85" s="3" t="s">
        <v>195</v>
      </c>
      <c r="G85" s="3" t="s">
        <v>196</v>
      </c>
      <c r="H85" s="3" t="s">
        <v>275</v>
      </c>
      <c r="I85" s="3" t="s">
        <v>197</v>
      </c>
      <c r="J85" s="3" t="s">
        <v>29</v>
      </c>
      <c r="K85" s="3" t="s">
        <v>30</v>
      </c>
      <c r="L85" s="3" t="s">
        <v>31</v>
      </c>
      <c r="M85" s="3" t="s">
        <v>32</v>
      </c>
      <c r="N85" s="3" t="s">
        <v>124</v>
      </c>
      <c r="O85" s="4" t="n">
        <v>46013</v>
      </c>
      <c r="P85" s="3" t="n">
        <f aca="false">ROUND((About!$B$3-O85)/365.25,1)</f>
        <v>0.7</v>
      </c>
      <c r="Q85" s="3" t="str">
        <f aca="false">IF(O85&gt;About!$B$4,"Yes","No")</f>
        <v>Yes</v>
      </c>
      <c r="R85" s="3" t="s">
        <v>198</v>
      </c>
      <c r="S85" s="3" t="str">
        <f aca="false">IF(R85="","",INDEX($B$2:$B$231,MATCH(R85,$A$2:$A$231,0))&amp;" "&amp;INDEX($C$2:$C$231,MATCH(R85,$A$2:$A$231,0)))</f>
        <v>Ada Paredes</v>
      </c>
      <c r="T85" s="3" t="s">
        <v>34</v>
      </c>
      <c r="U85" s="3" t="str">
        <f aca="false">H85&amp;" | "&amp;G85</f>
        <v>Litigation &amp; Disputes | Paraprofessional</v>
      </c>
    </row>
    <row r="86" customFormat="false" ht="15" hidden="false" customHeight="true" outlineLevel="0" collapsed="false">
      <c r="A86" s="3" t="s">
        <v>363</v>
      </c>
      <c r="B86" s="3" t="s">
        <v>228</v>
      </c>
      <c r="C86" s="3" t="s">
        <v>249</v>
      </c>
      <c r="D86" s="3" t="s">
        <v>364</v>
      </c>
      <c r="E86" s="3" t="s">
        <v>362</v>
      </c>
      <c r="F86" s="3" t="s">
        <v>195</v>
      </c>
      <c r="G86" s="3" t="s">
        <v>196</v>
      </c>
      <c r="H86" s="3" t="s">
        <v>275</v>
      </c>
      <c r="I86" s="3" t="s">
        <v>197</v>
      </c>
      <c r="J86" s="3" t="s">
        <v>111</v>
      </c>
      <c r="K86" s="3" t="s">
        <v>30</v>
      </c>
      <c r="L86" s="3" t="s">
        <v>31</v>
      </c>
      <c r="M86" s="3" t="s">
        <v>90</v>
      </c>
      <c r="N86" s="3" t="s">
        <v>42</v>
      </c>
      <c r="O86" s="4" t="n">
        <v>46138</v>
      </c>
      <c r="P86" s="3" t="n">
        <f aca="false">ROUND((About!$B$3-O86)/365.25,1)</f>
        <v>0.4</v>
      </c>
      <c r="Q86" s="3" t="str">
        <f aca="false">IF(O86&gt;About!$B$4,"Yes","No")</f>
        <v>Yes</v>
      </c>
      <c r="R86" s="3" t="s">
        <v>198</v>
      </c>
      <c r="S86" s="3" t="str">
        <f aca="false">IF(R86="","",INDEX($B$2:$B$231,MATCH(R86,$A$2:$A$231,0))&amp;" "&amp;INDEX($C$2:$C$231,MATCH(R86,$A$2:$A$231,0)))</f>
        <v>Ada Paredes</v>
      </c>
      <c r="T86" s="3" t="s">
        <v>34</v>
      </c>
      <c r="U86" s="3" t="str">
        <f aca="false">H86&amp;" | "&amp;G86</f>
        <v>Litigation &amp; Disputes | Paraprofessional</v>
      </c>
    </row>
    <row r="87" customFormat="false" ht="15" hidden="false" customHeight="true" outlineLevel="0" collapsed="false">
      <c r="A87" s="3" t="s">
        <v>365</v>
      </c>
      <c r="B87" s="3" t="s">
        <v>97</v>
      </c>
      <c r="C87" s="3" t="s">
        <v>249</v>
      </c>
      <c r="D87" s="3" t="s">
        <v>366</v>
      </c>
      <c r="E87" s="3" t="s">
        <v>362</v>
      </c>
      <c r="F87" s="3" t="s">
        <v>195</v>
      </c>
      <c r="G87" s="3" t="s">
        <v>196</v>
      </c>
      <c r="H87" s="3" t="s">
        <v>275</v>
      </c>
      <c r="I87" s="3" t="s">
        <v>197</v>
      </c>
      <c r="J87" s="3" t="s">
        <v>29</v>
      </c>
      <c r="K87" s="3" t="s">
        <v>30</v>
      </c>
      <c r="L87" s="3" t="s">
        <v>31</v>
      </c>
      <c r="M87" s="3" t="s">
        <v>32</v>
      </c>
      <c r="N87" s="3" t="s">
        <v>33</v>
      </c>
      <c r="O87" s="4" t="n">
        <v>42358</v>
      </c>
      <c r="P87" s="3" t="n">
        <f aca="false">ROUND((About!$B$3-O87)/365.25,1)</f>
        <v>10.7</v>
      </c>
      <c r="Q87" s="3" t="str">
        <f aca="false">IF(O87&gt;About!$B$4,"Yes","No")</f>
        <v>No</v>
      </c>
      <c r="R87" s="3" t="s">
        <v>198</v>
      </c>
      <c r="S87" s="3" t="str">
        <f aca="false">IF(R87="","",INDEX($B$2:$B$231,MATCH(R87,$A$2:$A$231,0))&amp;" "&amp;INDEX($C$2:$C$231,MATCH(R87,$A$2:$A$231,0)))</f>
        <v>Ada Paredes</v>
      </c>
      <c r="T87" s="3" t="s">
        <v>34</v>
      </c>
      <c r="U87" s="3" t="str">
        <f aca="false">H87&amp;" | "&amp;G87</f>
        <v>Litigation &amp; Disputes | Paraprofessional</v>
      </c>
    </row>
    <row r="88" customFormat="false" ht="15" hidden="false" customHeight="true" outlineLevel="0" collapsed="false">
      <c r="A88" s="3" t="s">
        <v>367</v>
      </c>
      <c r="B88" s="3" t="s">
        <v>368</v>
      </c>
      <c r="C88" s="3" t="s">
        <v>293</v>
      </c>
      <c r="D88" s="3" t="s">
        <v>369</v>
      </c>
      <c r="E88" s="3" t="s">
        <v>362</v>
      </c>
      <c r="F88" s="3" t="s">
        <v>195</v>
      </c>
      <c r="G88" s="3" t="s">
        <v>196</v>
      </c>
      <c r="H88" s="3" t="s">
        <v>275</v>
      </c>
      <c r="I88" s="3" t="s">
        <v>197</v>
      </c>
      <c r="J88" s="3" t="s">
        <v>89</v>
      </c>
      <c r="K88" s="3" t="s">
        <v>30</v>
      </c>
      <c r="L88" s="3" t="s">
        <v>31</v>
      </c>
      <c r="M88" s="3" t="s">
        <v>90</v>
      </c>
      <c r="N88" s="3" t="s">
        <v>33</v>
      </c>
      <c r="O88" s="4" t="n">
        <v>42745</v>
      </c>
      <c r="P88" s="3" t="n">
        <f aca="false">ROUND((About!$B$3-O88)/365.25,1)</f>
        <v>9.7</v>
      </c>
      <c r="Q88" s="3" t="str">
        <f aca="false">IF(O88&gt;About!$B$4,"Yes","No")</f>
        <v>No</v>
      </c>
      <c r="R88" s="3" t="s">
        <v>198</v>
      </c>
      <c r="S88" s="3" t="str">
        <f aca="false">IF(R88="","",INDEX($B$2:$B$231,MATCH(R88,$A$2:$A$231,0))&amp;" "&amp;INDEX($C$2:$C$231,MATCH(R88,$A$2:$A$231,0)))</f>
        <v>Ada Paredes</v>
      </c>
      <c r="T88" s="3" t="s">
        <v>34</v>
      </c>
      <c r="U88" s="3" t="str">
        <f aca="false">H88&amp;" | "&amp;G88</f>
        <v>Litigation &amp; Disputes | Paraprofessional</v>
      </c>
    </row>
    <row r="89" customFormat="false" ht="15" hidden="false" customHeight="true" outlineLevel="0" collapsed="false">
      <c r="A89" s="3" t="s">
        <v>370</v>
      </c>
      <c r="B89" s="3" t="s">
        <v>371</v>
      </c>
      <c r="C89" s="3" t="s">
        <v>372</v>
      </c>
      <c r="D89" s="3" t="s">
        <v>373</v>
      </c>
      <c r="E89" s="3" t="s">
        <v>194</v>
      </c>
      <c r="F89" s="3" t="s">
        <v>195</v>
      </c>
      <c r="G89" s="3" t="s">
        <v>196</v>
      </c>
      <c r="H89" s="3" t="s">
        <v>275</v>
      </c>
      <c r="I89" s="3" t="s">
        <v>197</v>
      </c>
      <c r="J89" s="3" t="s">
        <v>111</v>
      </c>
      <c r="K89" s="3" t="s">
        <v>30</v>
      </c>
      <c r="L89" s="3" t="s">
        <v>31</v>
      </c>
      <c r="M89" s="3" t="s">
        <v>90</v>
      </c>
      <c r="N89" s="3" t="s">
        <v>124</v>
      </c>
      <c r="O89" s="4" t="n">
        <v>45248</v>
      </c>
      <c r="P89" s="3" t="n">
        <f aca="false">ROUND((About!$B$3-O89)/365.25,1)</f>
        <v>2.8</v>
      </c>
      <c r="Q89" s="3" t="str">
        <f aca="false">IF(O89&gt;About!$B$4,"Yes","No")</f>
        <v>No</v>
      </c>
      <c r="R89" s="3" t="s">
        <v>198</v>
      </c>
      <c r="S89" s="3" t="str">
        <f aca="false">IF(R89="","",INDEX($B$2:$B$231,MATCH(R89,$A$2:$A$231,0))&amp;" "&amp;INDEX($C$2:$C$231,MATCH(R89,$A$2:$A$231,0)))</f>
        <v>Ada Paredes</v>
      </c>
      <c r="T89" s="3" t="s">
        <v>34</v>
      </c>
      <c r="U89" s="3" t="str">
        <f aca="false">H89&amp;" | "&amp;G89</f>
        <v>Litigation &amp; Disputes | Paraprofessional</v>
      </c>
    </row>
    <row r="90" customFormat="false" ht="15" hidden="false" customHeight="true" outlineLevel="0" collapsed="false">
      <c r="A90" s="3" t="s">
        <v>374</v>
      </c>
      <c r="B90" s="3" t="s">
        <v>375</v>
      </c>
      <c r="C90" s="3" t="s">
        <v>93</v>
      </c>
      <c r="D90" s="3" t="s">
        <v>376</v>
      </c>
      <c r="E90" s="3" t="s">
        <v>194</v>
      </c>
      <c r="F90" s="3" t="s">
        <v>195</v>
      </c>
      <c r="G90" s="3" t="s">
        <v>196</v>
      </c>
      <c r="H90" s="3" t="s">
        <v>275</v>
      </c>
      <c r="I90" s="3" t="s">
        <v>197</v>
      </c>
      <c r="J90" s="3" t="s">
        <v>29</v>
      </c>
      <c r="K90" s="3" t="s">
        <v>30</v>
      </c>
      <c r="L90" s="3" t="s">
        <v>31</v>
      </c>
      <c r="M90" s="3" t="s">
        <v>32</v>
      </c>
      <c r="N90" s="3" t="s">
        <v>33</v>
      </c>
      <c r="O90" s="4" t="n">
        <v>37641</v>
      </c>
      <c r="P90" s="3" t="n">
        <f aca="false">ROUND((About!$B$3-O90)/365.25,1)</f>
        <v>23.6</v>
      </c>
      <c r="Q90" s="3" t="str">
        <f aca="false">IF(O90&gt;About!$B$4,"Yes","No")</f>
        <v>No</v>
      </c>
      <c r="R90" s="3" t="s">
        <v>198</v>
      </c>
      <c r="S90" s="3" t="str">
        <f aca="false">IF(R90="","",INDEX($B$2:$B$231,MATCH(R90,$A$2:$A$231,0))&amp;" "&amp;INDEX($C$2:$C$231,MATCH(R90,$A$2:$A$231,0)))</f>
        <v>Ada Paredes</v>
      </c>
      <c r="T90" s="3" t="s">
        <v>34</v>
      </c>
      <c r="U90" s="3" t="str">
        <f aca="false">H90&amp;" | "&amp;G90</f>
        <v>Litigation &amp; Disputes | Paraprofessional</v>
      </c>
    </row>
    <row r="91" customFormat="false" ht="15" hidden="false" customHeight="true" outlineLevel="0" collapsed="false">
      <c r="A91" s="3" t="s">
        <v>377</v>
      </c>
      <c r="B91" s="3" t="s">
        <v>44</v>
      </c>
      <c r="C91" s="3" t="s">
        <v>102</v>
      </c>
      <c r="D91" s="3" t="s">
        <v>378</v>
      </c>
      <c r="E91" s="3" t="s">
        <v>194</v>
      </c>
      <c r="F91" s="3" t="s">
        <v>195</v>
      </c>
      <c r="G91" s="3" t="s">
        <v>196</v>
      </c>
      <c r="H91" s="3" t="s">
        <v>275</v>
      </c>
      <c r="I91" s="3" t="s">
        <v>197</v>
      </c>
      <c r="J91" s="3" t="s">
        <v>29</v>
      </c>
      <c r="K91" s="3" t="s">
        <v>30</v>
      </c>
      <c r="L91" s="3" t="s">
        <v>31</v>
      </c>
      <c r="M91" s="3" t="s">
        <v>32</v>
      </c>
      <c r="N91" s="3" t="s">
        <v>42</v>
      </c>
      <c r="O91" s="4" t="n">
        <v>45855</v>
      </c>
      <c r="P91" s="3" t="n">
        <f aca="false">ROUND((About!$B$3-O91)/365.25,1)</f>
        <v>1.1</v>
      </c>
      <c r="Q91" s="3" t="str">
        <f aca="false">IF(O91&gt;About!$B$4,"Yes","No")</f>
        <v>Yes</v>
      </c>
      <c r="R91" s="3" t="s">
        <v>198</v>
      </c>
      <c r="S91" s="3" t="str">
        <f aca="false">IF(R91="","",INDEX($B$2:$B$231,MATCH(R91,$A$2:$A$231,0))&amp;" "&amp;INDEX($C$2:$C$231,MATCH(R91,$A$2:$A$231,0)))</f>
        <v>Ada Paredes</v>
      </c>
      <c r="T91" s="3" t="s">
        <v>34</v>
      </c>
      <c r="U91" s="3" t="str">
        <f aca="false">H91&amp;" | "&amp;G91</f>
        <v>Litigation &amp; Disputes | Paraprofessional</v>
      </c>
    </row>
    <row r="92" customFormat="false" ht="15" hidden="false" customHeight="true" outlineLevel="0" collapsed="false">
      <c r="A92" s="3" t="s">
        <v>379</v>
      </c>
      <c r="B92" s="3" t="s">
        <v>354</v>
      </c>
      <c r="C92" s="3" t="s">
        <v>239</v>
      </c>
      <c r="D92" s="3" t="s">
        <v>380</v>
      </c>
      <c r="E92" s="3" t="s">
        <v>194</v>
      </c>
      <c r="F92" s="3" t="s">
        <v>195</v>
      </c>
      <c r="G92" s="3" t="s">
        <v>196</v>
      </c>
      <c r="H92" s="3" t="s">
        <v>275</v>
      </c>
      <c r="I92" s="3" t="s">
        <v>197</v>
      </c>
      <c r="J92" s="3" t="s">
        <v>95</v>
      </c>
      <c r="K92" s="3" t="s">
        <v>30</v>
      </c>
      <c r="L92" s="3" t="s">
        <v>31</v>
      </c>
      <c r="M92" s="3" t="s">
        <v>90</v>
      </c>
      <c r="N92" s="3" t="s">
        <v>33</v>
      </c>
      <c r="O92" s="4" t="n">
        <v>39575</v>
      </c>
      <c r="P92" s="3" t="n">
        <f aca="false">ROUND((About!$B$3-O92)/365.25,1)</f>
        <v>18.3</v>
      </c>
      <c r="Q92" s="3" t="str">
        <f aca="false">IF(O92&gt;About!$B$4,"Yes","No")</f>
        <v>No</v>
      </c>
      <c r="R92" s="3" t="s">
        <v>198</v>
      </c>
      <c r="S92" s="3" t="str">
        <f aca="false">IF(R92="","",INDEX($B$2:$B$231,MATCH(R92,$A$2:$A$231,0))&amp;" "&amp;INDEX($C$2:$C$231,MATCH(R92,$A$2:$A$231,0)))</f>
        <v>Ada Paredes</v>
      </c>
      <c r="T92" s="3" t="s">
        <v>34</v>
      </c>
      <c r="U92" s="3" t="str">
        <f aca="false">H92&amp;" | "&amp;G92</f>
        <v>Litigation &amp; Disputes | Paraprofessional</v>
      </c>
    </row>
    <row r="93" customFormat="false" ht="15" hidden="false" customHeight="true" outlineLevel="0" collapsed="false">
      <c r="A93" s="3" t="s">
        <v>381</v>
      </c>
      <c r="B93" s="3" t="s">
        <v>382</v>
      </c>
      <c r="C93" s="3" t="s">
        <v>56</v>
      </c>
      <c r="D93" s="3" t="s">
        <v>383</v>
      </c>
      <c r="E93" s="3" t="s">
        <v>194</v>
      </c>
      <c r="F93" s="3" t="s">
        <v>195</v>
      </c>
      <c r="G93" s="3" t="s">
        <v>196</v>
      </c>
      <c r="H93" s="3" t="s">
        <v>275</v>
      </c>
      <c r="I93" s="3" t="s">
        <v>197</v>
      </c>
      <c r="J93" s="3" t="s">
        <v>29</v>
      </c>
      <c r="K93" s="3" t="s">
        <v>30</v>
      </c>
      <c r="L93" s="3" t="s">
        <v>31</v>
      </c>
      <c r="M93" s="3" t="s">
        <v>32</v>
      </c>
      <c r="N93" s="3" t="s">
        <v>42</v>
      </c>
      <c r="O93" s="4" t="n">
        <v>45346</v>
      </c>
      <c r="P93" s="3" t="n">
        <f aca="false">ROUND((About!$B$3-O93)/365.25,1)</f>
        <v>2.5</v>
      </c>
      <c r="Q93" s="3" t="str">
        <f aca="false">IF(O93&gt;About!$B$4,"Yes","No")</f>
        <v>No</v>
      </c>
      <c r="R93" s="3" t="s">
        <v>198</v>
      </c>
      <c r="S93" s="3" t="str">
        <f aca="false">IF(R93="","",INDEX($B$2:$B$231,MATCH(R93,$A$2:$A$231,0))&amp;" "&amp;INDEX($C$2:$C$231,MATCH(R93,$A$2:$A$231,0)))</f>
        <v>Ada Paredes</v>
      </c>
      <c r="T93" s="3" t="s">
        <v>34</v>
      </c>
      <c r="U93" s="3" t="str">
        <f aca="false">H93&amp;" | "&amp;G93</f>
        <v>Litigation &amp; Disputes | Paraprofessional</v>
      </c>
    </row>
    <row r="94" customFormat="false" ht="15" hidden="false" customHeight="true" outlineLevel="0" collapsed="false">
      <c r="A94" s="3" t="s">
        <v>384</v>
      </c>
      <c r="B94" s="3" t="s">
        <v>168</v>
      </c>
      <c r="C94" s="3" t="s">
        <v>37</v>
      </c>
      <c r="D94" s="3" t="s">
        <v>385</v>
      </c>
      <c r="E94" s="3" t="s">
        <v>194</v>
      </c>
      <c r="F94" s="3" t="s">
        <v>195</v>
      </c>
      <c r="G94" s="3" t="s">
        <v>196</v>
      </c>
      <c r="H94" s="3" t="s">
        <v>275</v>
      </c>
      <c r="I94" s="3" t="s">
        <v>197</v>
      </c>
      <c r="J94" s="3" t="s">
        <v>29</v>
      </c>
      <c r="K94" s="3" t="s">
        <v>30</v>
      </c>
      <c r="L94" s="3" t="s">
        <v>31</v>
      </c>
      <c r="M94" s="3" t="s">
        <v>32</v>
      </c>
      <c r="N94" s="3" t="s">
        <v>124</v>
      </c>
      <c r="O94" s="4" t="n">
        <v>45676</v>
      </c>
      <c r="P94" s="3" t="n">
        <f aca="false">ROUND((About!$B$3-O94)/365.25,1)</f>
        <v>1.6</v>
      </c>
      <c r="Q94" s="3" t="str">
        <f aca="false">IF(O94&gt;About!$B$4,"Yes","No")</f>
        <v>Yes</v>
      </c>
      <c r="R94" s="3" t="s">
        <v>198</v>
      </c>
      <c r="S94" s="3" t="str">
        <f aca="false">IF(R94="","",INDEX($B$2:$B$231,MATCH(R94,$A$2:$A$231,0))&amp;" "&amp;INDEX($C$2:$C$231,MATCH(R94,$A$2:$A$231,0)))</f>
        <v>Ada Paredes</v>
      </c>
      <c r="T94" s="3" t="s">
        <v>34</v>
      </c>
      <c r="U94" s="3" t="str">
        <f aca="false">H94&amp;" | "&amp;G94</f>
        <v>Litigation &amp; Disputes | Paraprofessional</v>
      </c>
    </row>
    <row r="95" customFormat="false" ht="15" hidden="false" customHeight="true" outlineLevel="0" collapsed="false">
      <c r="A95" s="3" t="s">
        <v>386</v>
      </c>
      <c r="B95" s="3" t="s">
        <v>283</v>
      </c>
      <c r="C95" s="3" t="s">
        <v>323</v>
      </c>
      <c r="D95" s="3" t="s">
        <v>387</v>
      </c>
      <c r="E95" s="3" t="s">
        <v>194</v>
      </c>
      <c r="F95" s="3" t="s">
        <v>195</v>
      </c>
      <c r="G95" s="3" t="s">
        <v>196</v>
      </c>
      <c r="H95" s="3" t="s">
        <v>275</v>
      </c>
      <c r="I95" s="3" t="s">
        <v>197</v>
      </c>
      <c r="J95" s="3" t="s">
        <v>29</v>
      </c>
      <c r="K95" s="3" t="s">
        <v>30</v>
      </c>
      <c r="L95" s="3" t="s">
        <v>31</v>
      </c>
      <c r="M95" s="3" t="s">
        <v>32</v>
      </c>
      <c r="N95" s="3" t="s">
        <v>33</v>
      </c>
      <c r="O95" s="4" t="n">
        <v>44463</v>
      </c>
      <c r="P95" s="3" t="n">
        <f aca="false">ROUND((About!$B$3-O95)/365.25,1)</f>
        <v>5</v>
      </c>
      <c r="Q95" s="3" t="str">
        <f aca="false">IF(O95&gt;About!$B$4,"Yes","No")</f>
        <v>No</v>
      </c>
      <c r="R95" s="3" t="s">
        <v>198</v>
      </c>
      <c r="S95" s="3" t="str">
        <f aca="false">IF(R95="","",INDEX($B$2:$B$231,MATCH(R95,$A$2:$A$231,0))&amp;" "&amp;INDEX($C$2:$C$231,MATCH(R95,$A$2:$A$231,0)))</f>
        <v>Ada Paredes</v>
      </c>
      <c r="T95" s="3" t="s">
        <v>34</v>
      </c>
      <c r="U95" s="3" t="str">
        <f aca="false">H95&amp;" | "&amp;G95</f>
        <v>Litigation &amp; Disputes | Paraprofessional</v>
      </c>
    </row>
    <row r="96" customFormat="false" ht="15" hidden="false" customHeight="true" outlineLevel="0" collapsed="false">
      <c r="A96" s="3" t="s">
        <v>388</v>
      </c>
      <c r="B96" s="3" t="s">
        <v>177</v>
      </c>
      <c r="C96" s="3" t="s">
        <v>350</v>
      </c>
      <c r="D96" s="3" t="s">
        <v>389</v>
      </c>
      <c r="E96" s="3" t="s">
        <v>194</v>
      </c>
      <c r="F96" s="3" t="s">
        <v>195</v>
      </c>
      <c r="G96" s="3" t="s">
        <v>196</v>
      </c>
      <c r="H96" s="3" t="s">
        <v>275</v>
      </c>
      <c r="I96" s="3" t="s">
        <v>197</v>
      </c>
      <c r="J96" s="3" t="s">
        <v>29</v>
      </c>
      <c r="K96" s="3" t="s">
        <v>30</v>
      </c>
      <c r="L96" s="3" t="s">
        <v>31</v>
      </c>
      <c r="M96" s="3" t="s">
        <v>32</v>
      </c>
      <c r="N96" s="3" t="s">
        <v>124</v>
      </c>
      <c r="O96" s="4" t="n">
        <v>43064</v>
      </c>
      <c r="P96" s="3" t="n">
        <f aca="false">ROUND((About!$B$3-O96)/365.25,1)</f>
        <v>8.8</v>
      </c>
      <c r="Q96" s="3" t="str">
        <f aca="false">IF(O96&gt;About!$B$4,"Yes","No")</f>
        <v>No</v>
      </c>
      <c r="R96" s="3" t="s">
        <v>198</v>
      </c>
      <c r="S96" s="3" t="str">
        <f aca="false">IF(R96="","",INDEX($B$2:$B$231,MATCH(R96,$A$2:$A$231,0))&amp;" "&amp;INDEX($C$2:$C$231,MATCH(R96,$A$2:$A$231,0)))</f>
        <v>Ada Paredes</v>
      </c>
      <c r="T96" s="3" t="s">
        <v>34</v>
      </c>
      <c r="U96" s="3" t="str">
        <f aca="false">H96&amp;" | "&amp;G96</f>
        <v>Litigation &amp; Disputes | Paraprofessional</v>
      </c>
    </row>
    <row r="97" customFormat="false" ht="15" hidden="false" customHeight="true" outlineLevel="0" collapsed="false">
      <c r="A97" s="3" t="s">
        <v>390</v>
      </c>
      <c r="B97" s="3" t="s">
        <v>113</v>
      </c>
      <c r="C97" s="3" t="s">
        <v>360</v>
      </c>
      <c r="D97" s="3" t="s">
        <v>391</v>
      </c>
      <c r="E97" s="3" t="s">
        <v>194</v>
      </c>
      <c r="F97" s="3" t="s">
        <v>195</v>
      </c>
      <c r="G97" s="3" t="s">
        <v>196</v>
      </c>
      <c r="H97" s="3" t="s">
        <v>275</v>
      </c>
      <c r="I97" s="3" t="s">
        <v>197</v>
      </c>
      <c r="J97" s="3" t="s">
        <v>29</v>
      </c>
      <c r="K97" s="3" t="s">
        <v>30</v>
      </c>
      <c r="L97" s="3" t="s">
        <v>31</v>
      </c>
      <c r="M97" s="3" t="s">
        <v>32</v>
      </c>
      <c r="N97" s="3" t="s">
        <v>33</v>
      </c>
      <c r="O97" s="4" t="n">
        <v>45172</v>
      </c>
      <c r="P97" s="3" t="n">
        <f aca="false">ROUND((About!$B$3-O97)/365.25,1)</f>
        <v>3</v>
      </c>
      <c r="Q97" s="3" t="str">
        <f aca="false">IF(O97&gt;About!$B$4,"Yes","No")</f>
        <v>No</v>
      </c>
      <c r="R97" s="3" t="s">
        <v>198</v>
      </c>
      <c r="S97" s="3" t="str">
        <f aca="false">IF(R97="","",INDEX($B$2:$B$231,MATCH(R97,$A$2:$A$231,0))&amp;" "&amp;INDEX($C$2:$C$231,MATCH(R97,$A$2:$A$231,0)))</f>
        <v>Ada Paredes</v>
      </c>
      <c r="T97" s="3" t="s">
        <v>34</v>
      </c>
      <c r="U97" s="3" t="str">
        <f aca="false">H97&amp;" | "&amp;G97</f>
        <v>Litigation &amp; Disputes | Paraprofessional</v>
      </c>
    </row>
    <row r="98" customFormat="false" ht="15" hidden="false" customHeight="true" outlineLevel="0" collapsed="false">
      <c r="A98" s="3" t="s">
        <v>392</v>
      </c>
      <c r="B98" s="3" t="s">
        <v>359</v>
      </c>
      <c r="C98" s="3" t="s">
        <v>102</v>
      </c>
      <c r="D98" s="3" t="s">
        <v>393</v>
      </c>
      <c r="E98" s="3" t="s">
        <v>394</v>
      </c>
      <c r="F98" s="3" t="s">
        <v>195</v>
      </c>
      <c r="G98" s="3" t="s">
        <v>196</v>
      </c>
      <c r="H98" s="3" t="s">
        <v>275</v>
      </c>
      <c r="I98" s="3" t="s">
        <v>395</v>
      </c>
      <c r="J98" s="3" t="s">
        <v>29</v>
      </c>
      <c r="K98" s="3" t="s">
        <v>30</v>
      </c>
      <c r="L98" s="3" t="s">
        <v>31</v>
      </c>
      <c r="M98" s="3" t="s">
        <v>32</v>
      </c>
      <c r="N98" s="3" t="s">
        <v>33</v>
      </c>
      <c r="O98" s="4" t="n">
        <v>45066</v>
      </c>
      <c r="P98" s="3" t="n">
        <f aca="false">ROUND((About!$B$3-O98)/365.25,1)</f>
        <v>3.3</v>
      </c>
      <c r="Q98" s="3" t="str">
        <f aca="false">IF(O98&gt;About!$B$4,"Yes","No")</f>
        <v>No</v>
      </c>
      <c r="R98" s="3" t="s">
        <v>198</v>
      </c>
      <c r="S98" s="3" t="str">
        <f aca="false">IF(R98="","",INDEX($B$2:$B$231,MATCH(R98,$A$2:$A$231,0))&amp;" "&amp;INDEX($C$2:$C$231,MATCH(R98,$A$2:$A$231,0)))</f>
        <v>Ada Paredes</v>
      </c>
      <c r="T98" s="3" t="s">
        <v>34</v>
      </c>
      <c r="U98" s="3" t="str">
        <f aca="false">H98&amp;" | "&amp;G98</f>
        <v>Litigation &amp; Disputes | Paraprofessional</v>
      </c>
    </row>
    <row r="99" customFormat="false" ht="15" hidden="false" customHeight="true" outlineLevel="0" collapsed="false">
      <c r="A99" s="3" t="s">
        <v>396</v>
      </c>
      <c r="B99" s="3" t="s">
        <v>354</v>
      </c>
      <c r="C99" s="3" t="s">
        <v>397</v>
      </c>
      <c r="D99" s="3" t="s">
        <v>398</v>
      </c>
      <c r="E99" s="3" t="s">
        <v>394</v>
      </c>
      <c r="F99" s="3" t="s">
        <v>195</v>
      </c>
      <c r="G99" s="3" t="s">
        <v>196</v>
      </c>
      <c r="H99" s="3" t="s">
        <v>275</v>
      </c>
      <c r="I99" s="3" t="s">
        <v>395</v>
      </c>
      <c r="J99" s="3" t="s">
        <v>29</v>
      </c>
      <c r="K99" s="3" t="s">
        <v>30</v>
      </c>
      <c r="L99" s="3" t="s">
        <v>31</v>
      </c>
      <c r="M99" s="3" t="s">
        <v>32</v>
      </c>
      <c r="N99" s="3" t="s">
        <v>33</v>
      </c>
      <c r="O99" s="4" t="n">
        <v>45676</v>
      </c>
      <c r="P99" s="3" t="n">
        <f aca="false">ROUND((About!$B$3-O99)/365.25,1)</f>
        <v>1.6</v>
      </c>
      <c r="Q99" s="3" t="str">
        <f aca="false">IF(O99&gt;About!$B$4,"Yes","No")</f>
        <v>Yes</v>
      </c>
      <c r="R99" s="3" t="s">
        <v>198</v>
      </c>
      <c r="S99" s="3" t="str">
        <f aca="false">IF(R99="","",INDEX($B$2:$B$231,MATCH(R99,$A$2:$A$231,0))&amp;" "&amp;INDEX($C$2:$C$231,MATCH(R99,$A$2:$A$231,0)))</f>
        <v>Ada Paredes</v>
      </c>
      <c r="T99" s="3" t="s">
        <v>34</v>
      </c>
      <c r="U99" s="3" t="str">
        <f aca="false">H99&amp;" | "&amp;G99</f>
        <v>Litigation &amp; Disputes | Paraprofessional</v>
      </c>
    </row>
    <row r="100" customFormat="false" ht="15" hidden="false" customHeight="true" outlineLevel="0" collapsed="false">
      <c r="A100" s="3" t="s">
        <v>399</v>
      </c>
      <c r="B100" s="3" t="s">
        <v>400</v>
      </c>
      <c r="C100" s="3" t="s">
        <v>79</v>
      </c>
      <c r="D100" s="3" t="s">
        <v>401</v>
      </c>
      <c r="E100" s="3" t="s">
        <v>394</v>
      </c>
      <c r="F100" s="3" t="s">
        <v>195</v>
      </c>
      <c r="G100" s="3" t="s">
        <v>196</v>
      </c>
      <c r="H100" s="3" t="s">
        <v>275</v>
      </c>
      <c r="I100" s="3" t="s">
        <v>395</v>
      </c>
      <c r="J100" s="3" t="s">
        <v>29</v>
      </c>
      <c r="K100" s="3" t="s">
        <v>30</v>
      </c>
      <c r="L100" s="3" t="s">
        <v>31</v>
      </c>
      <c r="M100" s="3" t="s">
        <v>32</v>
      </c>
      <c r="N100" s="3" t="s">
        <v>33</v>
      </c>
      <c r="O100" s="4" t="n">
        <v>40783</v>
      </c>
      <c r="P100" s="3" t="n">
        <f aca="false">ROUND((About!$B$3-O100)/365.25,1)</f>
        <v>15</v>
      </c>
      <c r="Q100" s="3" t="str">
        <f aca="false">IF(O100&gt;About!$B$4,"Yes","No")</f>
        <v>No</v>
      </c>
      <c r="R100" s="3" t="s">
        <v>198</v>
      </c>
      <c r="S100" s="3" t="str">
        <f aca="false">IF(R100="","",INDEX($B$2:$B$231,MATCH(R100,$A$2:$A$231,0))&amp;" "&amp;INDEX($C$2:$C$231,MATCH(R100,$A$2:$A$231,0)))</f>
        <v>Ada Paredes</v>
      </c>
      <c r="T100" s="3" t="s">
        <v>34</v>
      </c>
      <c r="U100" s="3" t="str">
        <f aca="false">H100&amp;" | "&amp;G100</f>
        <v>Litigation &amp; Disputes | Paraprofessional</v>
      </c>
    </row>
    <row r="101" customFormat="false" ht="15" hidden="false" customHeight="true" outlineLevel="0" collapsed="false">
      <c r="A101" s="3" t="s">
        <v>402</v>
      </c>
      <c r="B101" s="3" t="s">
        <v>375</v>
      </c>
      <c r="C101" s="3" t="s">
        <v>403</v>
      </c>
      <c r="D101" s="3" t="s">
        <v>404</v>
      </c>
      <c r="E101" s="3" t="s">
        <v>394</v>
      </c>
      <c r="F101" s="3" t="s">
        <v>195</v>
      </c>
      <c r="G101" s="3" t="s">
        <v>196</v>
      </c>
      <c r="H101" s="3" t="s">
        <v>275</v>
      </c>
      <c r="I101" s="3" t="s">
        <v>395</v>
      </c>
      <c r="J101" s="3" t="s">
        <v>95</v>
      </c>
      <c r="K101" s="3" t="s">
        <v>30</v>
      </c>
      <c r="L101" s="3" t="s">
        <v>31</v>
      </c>
      <c r="M101" s="3" t="s">
        <v>90</v>
      </c>
      <c r="N101" s="3" t="s">
        <v>124</v>
      </c>
      <c r="O101" s="4" t="n">
        <v>46119</v>
      </c>
      <c r="P101" s="3" t="n">
        <f aca="false">ROUND((About!$B$3-O101)/365.25,1)</f>
        <v>0.4</v>
      </c>
      <c r="Q101" s="3" t="str">
        <f aca="false">IF(O101&gt;About!$B$4,"Yes","No")</f>
        <v>Yes</v>
      </c>
      <c r="R101" s="3" t="s">
        <v>198</v>
      </c>
      <c r="S101" s="3" t="str">
        <f aca="false">IF(R101="","",INDEX($B$2:$B$231,MATCH(R101,$A$2:$A$231,0))&amp;" "&amp;INDEX($C$2:$C$231,MATCH(R101,$A$2:$A$231,0)))</f>
        <v>Ada Paredes</v>
      </c>
      <c r="T101" s="3" t="s">
        <v>34</v>
      </c>
      <c r="U101" s="3" t="str">
        <f aca="false">H101&amp;" | "&amp;G101</f>
        <v>Litigation &amp; Disputes | Paraprofessional</v>
      </c>
    </row>
    <row r="102" customFormat="false" ht="15" hidden="false" customHeight="true" outlineLevel="0" collapsed="false">
      <c r="A102" s="3" t="s">
        <v>405</v>
      </c>
      <c r="B102" s="3" t="s">
        <v>406</v>
      </c>
      <c r="C102" s="3" t="s">
        <v>407</v>
      </c>
      <c r="D102" s="3" t="s">
        <v>408</v>
      </c>
      <c r="E102" s="3" t="s">
        <v>409</v>
      </c>
      <c r="F102" s="3" t="s">
        <v>195</v>
      </c>
      <c r="G102" s="3" t="s">
        <v>196</v>
      </c>
      <c r="H102" s="3" t="s">
        <v>275</v>
      </c>
      <c r="I102" s="3" t="s">
        <v>395</v>
      </c>
      <c r="J102" s="3" t="s">
        <v>123</v>
      </c>
      <c r="K102" s="3" t="s">
        <v>30</v>
      </c>
      <c r="L102" s="3" t="s">
        <v>31</v>
      </c>
      <c r="M102" s="3" t="s">
        <v>90</v>
      </c>
      <c r="N102" s="3" t="s">
        <v>33</v>
      </c>
      <c r="O102" s="4" t="n">
        <v>45369</v>
      </c>
      <c r="P102" s="3" t="n">
        <f aca="false">ROUND((About!$B$3-O102)/365.25,1)</f>
        <v>2.5</v>
      </c>
      <c r="Q102" s="3" t="str">
        <f aca="false">IF(O102&gt;About!$B$4,"Yes","No")</f>
        <v>No</v>
      </c>
      <c r="R102" s="3" t="s">
        <v>198</v>
      </c>
      <c r="S102" s="3" t="str">
        <f aca="false">IF(R102="","",INDEX($B$2:$B$231,MATCH(R102,$A$2:$A$231,0))&amp;" "&amp;INDEX($C$2:$C$231,MATCH(R102,$A$2:$A$231,0)))</f>
        <v>Ada Paredes</v>
      </c>
      <c r="T102" s="3" t="s">
        <v>34</v>
      </c>
      <c r="U102" s="3" t="str">
        <f aca="false">H102&amp;" | "&amp;G102</f>
        <v>Litigation &amp; Disputes | Paraprofessional</v>
      </c>
    </row>
    <row r="103" customFormat="false" ht="15" hidden="false" customHeight="true" outlineLevel="0" collapsed="false">
      <c r="A103" s="3" t="s">
        <v>410</v>
      </c>
      <c r="B103" s="3" t="s">
        <v>177</v>
      </c>
      <c r="C103" s="3" t="s">
        <v>239</v>
      </c>
      <c r="D103" s="3" t="s">
        <v>411</v>
      </c>
      <c r="E103" s="3" t="s">
        <v>409</v>
      </c>
      <c r="F103" s="3" t="s">
        <v>195</v>
      </c>
      <c r="G103" s="3" t="s">
        <v>196</v>
      </c>
      <c r="H103" s="3" t="s">
        <v>275</v>
      </c>
      <c r="I103" s="3" t="s">
        <v>395</v>
      </c>
      <c r="J103" s="3" t="s">
        <v>29</v>
      </c>
      <c r="K103" s="3" t="s">
        <v>30</v>
      </c>
      <c r="L103" s="3" t="s">
        <v>31</v>
      </c>
      <c r="M103" s="3" t="s">
        <v>32</v>
      </c>
      <c r="N103" s="3" t="s">
        <v>33</v>
      </c>
      <c r="O103" s="4" t="n">
        <v>45352</v>
      </c>
      <c r="P103" s="3" t="n">
        <f aca="false">ROUND((About!$B$3-O103)/365.25,1)</f>
        <v>2.5</v>
      </c>
      <c r="Q103" s="3" t="str">
        <f aca="false">IF(O103&gt;About!$B$4,"Yes","No")</f>
        <v>No</v>
      </c>
      <c r="R103" s="3" t="s">
        <v>198</v>
      </c>
      <c r="S103" s="3" t="str">
        <f aca="false">IF(R103="","",INDEX($B$2:$B$231,MATCH(R103,$A$2:$A$231,0))&amp;" "&amp;INDEX($C$2:$C$231,MATCH(R103,$A$2:$A$231,0)))</f>
        <v>Ada Paredes</v>
      </c>
      <c r="T103" s="3" t="s">
        <v>34</v>
      </c>
      <c r="U103" s="3" t="str">
        <f aca="false">H103&amp;" | "&amp;G103</f>
        <v>Litigation &amp; Disputes | Paraprofessional</v>
      </c>
    </row>
    <row r="104" customFormat="false" ht="15" hidden="false" customHeight="true" outlineLevel="0" collapsed="false">
      <c r="A104" s="3" t="s">
        <v>412</v>
      </c>
      <c r="B104" s="3" t="s">
        <v>113</v>
      </c>
      <c r="C104" s="3" t="s">
        <v>181</v>
      </c>
      <c r="D104" s="3" t="s">
        <v>413</v>
      </c>
      <c r="E104" s="3" t="s">
        <v>39</v>
      </c>
      <c r="F104" s="3" t="s">
        <v>40</v>
      </c>
      <c r="G104" s="3" t="s">
        <v>39</v>
      </c>
      <c r="H104" s="3" t="s">
        <v>275</v>
      </c>
      <c r="I104" s="3" t="s">
        <v>41</v>
      </c>
      <c r="J104" s="3" t="s">
        <v>29</v>
      </c>
      <c r="K104" s="3" t="s">
        <v>30</v>
      </c>
      <c r="L104" s="3" t="s">
        <v>31</v>
      </c>
      <c r="M104" s="3" t="s">
        <v>32</v>
      </c>
      <c r="N104" s="3" t="s">
        <v>33</v>
      </c>
      <c r="O104" s="4" t="n">
        <v>45330</v>
      </c>
      <c r="P104" s="3" t="n">
        <f aca="false">ROUND((About!$B$3-O104)/365.25,1)</f>
        <v>2.6</v>
      </c>
      <c r="Q104" s="3" t="str">
        <f aca="false">IF(O104&gt;About!$B$4,"Yes","No")</f>
        <v>No</v>
      </c>
      <c r="R104" s="3" t="s">
        <v>271</v>
      </c>
      <c r="S104" s="3" t="str">
        <f aca="false">IF(R104="","",INDEX($B$2:$B$231,MATCH(R104,$A$2:$A$231,0))&amp;" "&amp;INDEX($C$2:$C$231,MATCH(R104,$A$2:$A$231,0)))</f>
        <v>Ines Duarte</v>
      </c>
      <c r="T104" s="3" t="s">
        <v>34</v>
      </c>
      <c r="U104" s="3" t="str">
        <f aca="false">H104&amp;" | "&amp;G104</f>
        <v>Litigation &amp; Disputes | Executive Assistant</v>
      </c>
    </row>
    <row r="105" customFormat="false" ht="15" hidden="false" customHeight="true" outlineLevel="0" collapsed="false">
      <c r="A105" s="3" t="s">
        <v>414</v>
      </c>
      <c r="B105" s="3" t="s">
        <v>22</v>
      </c>
      <c r="C105" s="3" t="s">
        <v>341</v>
      </c>
      <c r="D105" s="3" t="s">
        <v>415</v>
      </c>
      <c r="E105" s="3" t="s">
        <v>39</v>
      </c>
      <c r="F105" s="3" t="s">
        <v>40</v>
      </c>
      <c r="G105" s="3" t="s">
        <v>39</v>
      </c>
      <c r="H105" s="3" t="s">
        <v>275</v>
      </c>
      <c r="I105" s="3" t="s">
        <v>41</v>
      </c>
      <c r="J105" s="3" t="s">
        <v>29</v>
      </c>
      <c r="K105" s="3" t="s">
        <v>30</v>
      </c>
      <c r="L105" s="3" t="s">
        <v>31</v>
      </c>
      <c r="M105" s="3" t="s">
        <v>32</v>
      </c>
      <c r="N105" s="3" t="s">
        <v>33</v>
      </c>
      <c r="O105" s="4" t="n">
        <v>39383</v>
      </c>
      <c r="P105" s="3" t="n">
        <f aca="false">ROUND((About!$B$3-O105)/365.25,1)</f>
        <v>18.9</v>
      </c>
      <c r="Q105" s="3" t="str">
        <f aca="false">IF(O105&gt;About!$B$4,"Yes","No")</f>
        <v>No</v>
      </c>
      <c r="R105" s="3" t="s">
        <v>271</v>
      </c>
      <c r="S105" s="3" t="str">
        <f aca="false">IF(R105="","",INDEX($B$2:$B$231,MATCH(R105,$A$2:$A$231,0))&amp;" "&amp;INDEX($C$2:$C$231,MATCH(R105,$A$2:$A$231,0)))</f>
        <v>Ines Duarte</v>
      </c>
      <c r="T105" s="3" t="s">
        <v>34</v>
      </c>
      <c r="U105" s="3" t="str">
        <f aca="false">H105&amp;" | "&amp;G105</f>
        <v>Litigation &amp; Disputes | Executive Assistant</v>
      </c>
    </row>
    <row r="106" customFormat="false" ht="15" hidden="false" customHeight="true" outlineLevel="0" collapsed="false">
      <c r="A106" s="3" t="s">
        <v>416</v>
      </c>
      <c r="B106" s="3" t="s">
        <v>417</v>
      </c>
      <c r="C106" s="3" t="s">
        <v>418</v>
      </c>
      <c r="D106" s="3" t="s">
        <v>419</v>
      </c>
      <c r="E106" s="3" t="s">
        <v>39</v>
      </c>
      <c r="F106" s="3" t="s">
        <v>40</v>
      </c>
      <c r="G106" s="3" t="s">
        <v>39</v>
      </c>
      <c r="H106" s="3" t="s">
        <v>275</v>
      </c>
      <c r="I106" s="3" t="s">
        <v>41</v>
      </c>
      <c r="J106" s="3" t="s">
        <v>29</v>
      </c>
      <c r="K106" s="3" t="s">
        <v>30</v>
      </c>
      <c r="L106" s="3" t="s">
        <v>31</v>
      </c>
      <c r="M106" s="3" t="s">
        <v>32</v>
      </c>
      <c r="N106" s="3" t="s">
        <v>33</v>
      </c>
      <c r="O106" s="4" t="n">
        <v>43454</v>
      </c>
      <c r="P106" s="3" t="n">
        <f aca="false">ROUND((About!$B$3-O106)/365.25,1)</f>
        <v>7.7</v>
      </c>
      <c r="Q106" s="3" t="str">
        <f aca="false">IF(O106&gt;About!$B$4,"Yes","No")</f>
        <v>No</v>
      </c>
      <c r="R106" s="3" t="s">
        <v>271</v>
      </c>
      <c r="S106" s="3" t="str">
        <f aca="false">IF(R106="","",INDEX($B$2:$B$231,MATCH(R106,$A$2:$A$231,0))&amp;" "&amp;INDEX($C$2:$C$231,MATCH(R106,$A$2:$A$231,0)))</f>
        <v>Ines Duarte</v>
      </c>
      <c r="T106" s="3" t="s">
        <v>34</v>
      </c>
      <c r="U106" s="3" t="str">
        <f aca="false">H106&amp;" | "&amp;G106</f>
        <v>Litigation &amp; Disputes | Executive Assistant</v>
      </c>
    </row>
    <row r="107" customFormat="false" ht="15" hidden="false" customHeight="true" outlineLevel="0" collapsed="false">
      <c r="A107" s="3" t="s">
        <v>420</v>
      </c>
      <c r="B107" s="3" t="s">
        <v>231</v>
      </c>
      <c r="C107" s="3" t="s">
        <v>421</v>
      </c>
      <c r="D107" s="3" t="s">
        <v>422</v>
      </c>
      <c r="E107" s="3" t="s">
        <v>423</v>
      </c>
      <c r="F107" s="3" t="s">
        <v>52</v>
      </c>
      <c r="G107" s="3" t="s">
        <v>27</v>
      </c>
      <c r="H107" s="3" t="s">
        <v>424</v>
      </c>
      <c r="I107" s="3"/>
      <c r="J107" s="3" t="s">
        <v>148</v>
      </c>
      <c r="K107" s="3" t="s">
        <v>30</v>
      </c>
      <c r="L107" s="3" t="s">
        <v>31</v>
      </c>
      <c r="M107" s="3" t="s">
        <v>90</v>
      </c>
      <c r="N107" s="3" t="s">
        <v>124</v>
      </c>
      <c r="O107" s="4" t="n">
        <v>42686</v>
      </c>
      <c r="P107" s="3" t="n">
        <f aca="false">ROUND((About!$B$3-O107)/365.25,1)</f>
        <v>9.8</v>
      </c>
      <c r="Q107" s="3" t="str">
        <f aca="false">IF(O107&gt;About!$B$4,"Yes","No")</f>
        <v>No</v>
      </c>
      <c r="R107" s="3" t="s">
        <v>21</v>
      </c>
      <c r="S107" s="3" t="str">
        <f aca="false">IF(R107="","",INDEX($B$2:$B$231,MATCH(R107,$A$2:$A$231,0))&amp;" "&amp;INDEX($C$2:$C$231,MATCH(R107,$A$2:$A$231,0)))</f>
        <v>Simon Rasmussen</v>
      </c>
      <c r="T107" s="3" t="s">
        <v>34</v>
      </c>
      <c r="U107" s="3" t="str">
        <f aca="false">H107&amp;" | "&amp;G107</f>
        <v>Regulatory &amp; Trade Compliance | Lawyer - Leadership</v>
      </c>
    </row>
    <row r="108" customFormat="false" ht="15" hidden="false" customHeight="true" outlineLevel="0" collapsed="false">
      <c r="A108" s="3" t="s">
        <v>425</v>
      </c>
      <c r="B108" s="3" t="s">
        <v>426</v>
      </c>
      <c r="C108" s="3" t="s">
        <v>427</v>
      </c>
      <c r="D108" s="3" t="s">
        <v>428</v>
      </c>
      <c r="E108" s="3" t="s">
        <v>72</v>
      </c>
      <c r="F108" s="3" t="s">
        <v>73</v>
      </c>
      <c r="G108" s="3" t="s">
        <v>74</v>
      </c>
      <c r="H108" s="3" t="s">
        <v>424</v>
      </c>
      <c r="I108" s="3"/>
      <c r="J108" s="3" t="s">
        <v>75</v>
      </c>
      <c r="K108" s="3" t="s">
        <v>75</v>
      </c>
      <c r="L108" s="3" t="s">
        <v>76</v>
      </c>
      <c r="M108" s="3" t="s">
        <v>64</v>
      </c>
      <c r="N108" s="3" t="s">
        <v>33</v>
      </c>
      <c r="O108" s="4" t="n">
        <v>42115</v>
      </c>
      <c r="P108" s="3" t="n">
        <f aca="false">ROUND((About!$B$3-O108)/365.25,1)</f>
        <v>11.4</v>
      </c>
      <c r="Q108" s="3" t="str">
        <f aca="false">IF(O108&gt;About!$B$4,"Yes","No")</f>
        <v>No</v>
      </c>
      <c r="R108" s="3" t="s">
        <v>420</v>
      </c>
      <c r="S108" s="3" t="str">
        <f aca="false">IF(R108="","",INDEX($B$2:$B$231,MATCH(R108,$A$2:$A$231,0))&amp;" "&amp;INDEX($C$2:$C$231,MATCH(R108,$A$2:$A$231,0)))</f>
        <v>Leo Fitzgerald</v>
      </c>
      <c r="T108" s="3" t="s">
        <v>34</v>
      </c>
      <c r="U108" s="3" t="str">
        <f aca="false">H108&amp;" | "&amp;G108</f>
        <v>Regulatory &amp; Trade Compliance | Lawyer - Mid</v>
      </c>
    </row>
    <row r="109" customFormat="false" ht="15" hidden="false" customHeight="true" outlineLevel="0" collapsed="false">
      <c r="A109" s="3" t="s">
        <v>429</v>
      </c>
      <c r="B109" s="3" t="s">
        <v>430</v>
      </c>
      <c r="C109" s="3" t="s">
        <v>431</v>
      </c>
      <c r="D109" s="3" t="s">
        <v>432</v>
      </c>
      <c r="E109" s="3" t="s">
        <v>58</v>
      </c>
      <c r="F109" s="3" t="s">
        <v>59</v>
      </c>
      <c r="G109" s="3" t="s">
        <v>60</v>
      </c>
      <c r="H109" s="3" t="s">
        <v>424</v>
      </c>
      <c r="I109" s="3"/>
      <c r="J109" s="3" t="s">
        <v>75</v>
      </c>
      <c r="K109" s="3" t="s">
        <v>75</v>
      </c>
      <c r="L109" s="3" t="s">
        <v>76</v>
      </c>
      <c r="M109" s="3" t="s">
        <v>64</v>
      </c>
      <c r="N109" s="3" t="s">
        <v>33</v>
      </c>
      <c r="O109" s="4" t="n">
        <v>45923</v>
      </c>
      <c r="P109" s="3" t="n">
        <f aca="false">ROUND((About!$B$3-O109)/365.25,1)</f>
        <v>1</v>
      </c>
      <c r="Q109" s="3" t="str">
        <f aca="false">IF(O109&gt;About!$B$4,"Yes","No")</f>
        <v>Yes</v>
      </c>
      <c r="R109" s="3" t="s">
        <v>420</v>
      </c>
      <c r="S109" s="3" t="str">
        <f aca="false">IF(R109="","",INDEX($B$2:$B$231,MATCH(R109,$A$2:$A$231,0))&amp;" "&amp;INDEX($C$2:$C$231,MATCH(R109,$A$2:$A$231,0)))</f>
        <v>Leo Fitzgerald</v>
      </c>
      <c r="T109" s="3" t="s">
        <v>34</v>
      </c>
      <c r="U109" s="3" t="str">
        <f aca="false">H109&amp;" | "&amp;G109</f>
        <v>Regulatory &amp; Trade Compliance | Lawyer - Junior</v>
      </c>
    </row>
    <row r="110" customFormat="false" ht="15" hidden="false" customHeight="true" outlineLevel="0" collapsed="false">
      <c r="A110" s="3" t="s">
        <v>433</v>
      </c>
      <c r="B110" s="3" t="s">
        <v>434</v>
      </c>
      <c r="C110" s="3" t="s">
        <v>435</v>
      </c>
      <c r="D110" s="3" t="s">
        <v>436</v>
      </c>
      <c r="E110" s="3" t="s">
        <v>72</v>
      </c>
      <c r="F110" s="3" t="s">
        <v>73</v>
      </c>
      <c r="G110" s="3" t="s">
        <v>74</v>
      </c>
      <c r="H110" s="3" t="s">
        <v>424</v>
      </c>
      <c r="I110" s="3"/>
      <c r="J110" s="3" t="s">
        <v>437</v>
      </c>
      <c r="K110" s="3" t="s">
        <v>438</v>
      </c>
      <c r="L110" s="3" t="s">
        <v>439</v>
      </c>
      <c r="M110" s="3" t="s">
        <v>64</v>
      </c>
      <c r="N110" s="3" t="s">
        <v>124</v>
      </c>
      <c r="O110" s="4" t="n">
        <v>41185</v>
      </c>
      <c r="P110" s="3" t="n">
        <f aca="false">ROUND((About!$B$3-O110)/365.25,1)</f>
        <v>13.9</v>
      </c>
      <c r="Q110" s="3" t="str">
        <f aca="false">IF(O110&gt;About!$B$4,"Yes","No")</f>
        <v>No</v>
      </c>
      <c r="R110" s="3" t="s">
        <v>420</v>
      </c>
      <c r="S110" s="3" t="str">
        <f aca="false">IF(R110="","",INDEX($B$2:$B$231,MATCH(R110,$A$2:$A$231,0))&amp;" "&amp;INDEX($C$2:$C$231,MATCH(R110,$A$2:$A$231,0)))</f>
        <v>Leo Fitzgerald</v>
      </c>
      <c r="T110" s="3" t="s">
        <v>34</v>
      </c>
      <c r="U110" s="3" t="str">
        <f aca="false">H110&amp;" | "&amp;G110</f>
        <v>Regulatory &amp; Trade Compliance | Lawyer - Mid</v>
      </c>
    </row>
    <row r="111" customFormat="false" ht="15" hidden="false" customHeight="true" outlineLevel="0" collapsed="false">
      <c r="A111" s="3" t="s">
        <v>440</v>
      </c>
      <c r="B111" s="3" t="s">
        <v>441</v>
      </c>
      <c r="C111" s="3" t="s">
        <v>442</v>
      </c>
      <c r="D111" s="3" t="s">
        <v>443</v>
      </c>
      <c r="E111" s="3" t="s">
        <v>72</v>
      </c>
      <c r="F111" s="3" t="s">
        <v>73</v>
      </c>
      <c r="G111" s="3" t="s">
        <v>74</v>
      </c>
      <c r="H111" s="3" t="s">
        <v>424</v>
      </c>
      <c r="I111" s="3"/>
      <c r="J111" s="3" t="s">
        <v>61</v>
      </c>
      <c r="K111" s="3" t="s">
        <v>62</v>
      </c>
      <c r="L111" s="3" t="s">
        <v>63</v>
      </c>
      <c r="M111" s="3" t="s">
        <v>64</v>
      </c>
      <c r="N111" s="3" t="s">
        <v>124</v>
      </c>
      <c r="O111" s="4" t="n">
        <v>44885</v>
      </c>
      <c r="P111" s="3" t="n">
        <f aca="false">ROUND((About!$B$3-O111)/365.25,1)</f>
        <v>3.8</v>
      </c>
      <c r="Q111" s="3" t="str">
        <f aca="false">IF(O111&gt;About!$B$4,"Yes","No")</f>
        <v>No</v>
      </c>
      <c r="R111" s="3" t="s">
        <v>420</v>
      </c>
      <c r="S111" s="3" t="str">
        <f aca="false">IF(R111="","",INDEX($B$2:$B$231,MATCH(R111,$A$2:$A$231,0))&amp;" "&amp;INDEX($C$2:$C$231,MATCH(R111,$A$2:$A$231,0)))</f>
        <v>Leo Fitzgerald</v>
      </c>
      <c r="T111" s="3" t="s">
        <v>34</v>
      </c>
      <c r="U111" s="3" t="str">
        <f aca="false">H111&amp;" | "&amp;G111</f>
        <v>Regulatory &amp; Trade Compliance | Lawyer - Mid</v>
      </c>
    </row>
    <row r="112" customFormat="false" ht="15" hidden="false" customHeight="true" outlineLevel="0" collapsed="false">
      <c r="A112" s="3" t="s">
        <v>444</v>
      </c>
      <c r="B112" s="3" t="s">
        <v>296</v>
      </c>
      <c r="C112" s="3" t="s">
        <v>243</v>
      </c>
      <c r="D112" s="3" t="s">
        <v>445</v>
      </c>
      <c r="E112" s="3" t="s">
        <v>116</v>
      </c>
      <c r="F112" s="3" t="s">
        <v>117</v>
      </c>
      <c r="G112" s="3" t="s">
        <v>118</v>
      </c>
      <c r="H112" s="3" t="s">
        <v>424</v>
      </c>
      <c r="I112" s="3"/>
      <c r="J112" s="3" t="s">
        <v>75</v>
      </c>
      <c r="K112" s="3" t="s">
        <v>75</v>
      </c>
      <c r="L112" s="3" t="s">
        <v>76</v>
      </c>
      <c r="M112" s="3" t="s">
        <v>64</v>
      </c>
      <c r="N112" s="3" t="s">
        <v>33</v>
      </c>
      <c r="O112" s="4" t="n">
        <v>45202</v>
      </c>
      <c r="P112" s="3" t="n">
        <f aca="false">ROUND((About!$B$3-O112)/365.25,1)</f>
        <v>2.9</v>
      </c>
      <c r="Q112" s="3" t="str">
        <f aca="false">IF(O112&gt;About!$B$4,"Yes","No")</f>
        <v>No</v>
      </c>
      <c r="R112" s="3" t="s">
        <v>420</v>
      </c>
      <c r="S112" s="3" t="str">
        <f aca="false">IF(R112="","",INDEX($B$2:$B$231,MATCH(R112,$A$2:$A$231,0))&amp;" "&amp;INDEX($C$2:$C$231,MATCH(R112,$A$2:$A$231,0)))</f>
        <v>Leo Fitzgerald</v>
      </c>
      <c r="T112" s="3" t="s">
        <v>34</v>
      </c>
      <c r="U112" s="3" t="str">
        <f aca="false">H112&amp;" | "&amp;G112</f>
        <v>Regulatory &amp; Trade Compliance | Lawyer - Senior</v>
      </c>
    </row>
    <row r="113" customFormat="false" ht="15" hidden="false" customHeight="true" outlineLevel="0" collapsed="false">
      <c r="A113" s="3" t="s">
        <v>446</v>
      </c>
      <c r="B113" s="3" t="s">
        <v>447</v>
      </c>
      <c r="C113" s="3" t="s">
        <v>448</v>
      </c>
      <c r="D113" s="3" t="s">
        <v>449</v>
      </c>
      <c r="E113" s="3" t="s">
        <v>72</v>
      </c>
      <c r="F113" s="3" t="s">
        <v>73</v>
      </c>
      <c r="G113" s="3" t="s">
        <v>74</v>
      </c>
      <c r="H113" s="3" t="s">
        <v>424</v>
      </c>
      <c r="I113" s="3"/>
      <c r="J113" s="3" t="s">
        <v>437</v>
      </c>
      <c r="K113" s="3" t="s">
        <v>438</v>
      </c>
      <c r="L113" s="3" t="s">
        <v>439</v>
      </c>
      <c r="M113" s="3" t="s">
        <v>64</v>
      </c>
      <c r="N113" s="3" t="s">
        <v>42</v>
      </c>
      <c r="O113" s="4" t="n">
        <v>45987</v>
      </c>
      <c r="P113" s="3" t="n">
        <f aca="false">ROUND((About!$B$3-O113)/365.25,1)</f>
        <v>0.8</v>
      </c>
      <c r="Q113" s="3" t="str">
        <f aca="false">IF(O113&gt;About!$B$4,"Yes","No")</f>
        <v>Yes</v>
      </c>
      <c r="R113" s="3" t="s">
        <v>420</v>
      </c>
      <c r="S113" s="3" t="str">
        <f aca="false">IF(R113="","",INDEX($B$2:$B$231,MATCH(R113,$A$2:$A$231,0))&amp;" "&amp;INDEX($C$2:$C$231,MATCH(R113,$A$2:$A$231,0)))</f>
        <v>Leo Fitzgerald</v>
      </c>
      <c r="T113" s="3" t="s">
        <v>34</v>
      </c>
      <c r="U113" s="3" t="str">
        <f aca="false">H113&amp;" | "&amp;G113</f>
        <v>Regulatory &amp; Trade Compliance | Lawyer - Mid</v>
      </c>
    </row>
    <row r="114" customFormat="false" ht="15" hidden="false" customHeight="true" outlineLevel="0" collapsed="false">
      <c r="A114" s="3" t="s">
        <v>450</v>
      </c>
      <c r="B114" s="3" t="s">
        <v>451</v>
      </c>
      <c r="C114" s="3" t="s">
        <v>79</v>
      </c>
      <c r="D114" s="3" t="s">
        <v>452</v>
      </c>
      <c r="E114" s="3" t="s">
        <v>72</v>
      </c>
      <c r="F114" s="3" t="s">
        <v>73</v>
      </c>
      <c r="G114" s="3" t="s">
        <v>74</v>
      </c>
      <c r="H114" s="3" t="s">
        <v>424</v>
      </c>
      <c r="I114" s="3"/>
      <c r="J114" s="3" t="s">
        <v>61</v>
      </c>
      <c r="K114" s="3" t="s">
        <v>62</v>
      </c>
      <c r="L114" s="3" t="s">
        <v>63</v>
      </c>
      <c r="M114" s="3" t="s">
        <v>64</v>
      </c>
      <c r="N114" s="3" t="s">
        <v>42</v>
      </c>
      <c r="O114" s="4" t="n">
        <v>44180</v>
      </c>
      <c r="P114" s="3" t="n">
        <f aca="false">ROUND((About!$B$3-O114)/365.25,1)</f>
        <v>5.7</v>
      </c>
      <c r="Q114" s="3" t="str">
        <f aca="false">IF(O114&gt;About!$B$4,"Yes","No")</f>
        <v>No</v>
      </c>
      <c r="R114" s="3" t="s">
        <v>420</v>
      </c>
      <c r="S114" s="3" t="str">
        <f aca="false">IF(R114="","",INDEX($B$2:$B$231,MATCH(R114,$A$2:$A$231,0))&amp;" "&amp;INDEX($C$2:$C$231,MATCH(R114,$A$2:$A$231,0)))</f>
        <v>Leo Fitzgerald</v>
      </c>
      <c r="T114" s="3" t="s">
        <v>34</v>
      </c>
      <c r="U114" s="3" t="str">
        <f aca="false">H114&amp;" | "&amp;G114</f>
        <v>Regulatory &amp; Trade Compliance | Lawyer - Mid</v>
      </c>
    </row>
    <row r="115" customFormat="false" ht="15" hidden="false" customHeight="true" outlineLevel="0" collapsed="false">
      <c r="A115" s="3" t="s">
        <v>453</v>
      </c>
      <c r="B115" s="3" t="s">
        <v>451</v>
      </c>
      <c r="C115" s="3" t="s">
        <v>454</v>
      </c>
      <c r="D115" s="3" t="s">
        <v>455</v>
      </c>
      <c r="E115" s="3" t="s">
        <v>58</v>
      </c>
      <c r="F115" s="3" t="s">
        <v>59</v>
      </c>
      <c r="G115" s="3" t="s">
        <v>60</v>
      </c>
      <c r="H115" s="3" t="s">
        <v>424</v>
      </c>
      <c r="I115" s="3"/>
      <c r="J115" s="3" t="s">
        <v>95</v>
      </c>
      <c r="K115" s="3" t="s">
        <v>30</v>
      </c>
      <c r="L115" s="3" t="s">
        <v>31</v>
      </c>
      <c r="M115" s="3" t="s">
        <v>90</v>
      </c>
      <c r="N115" s="3" t="s">
        <v>42</v>
      </c>
      <c r="O115" s="4" t="n">
        <v>44035</v>
      </c>
      <c r="P115" s="3" t="n">
        <f aca="false">ROUND((About!$B$3-O115)/365.25,1)</f>
        <v>6.1</v>
      </c>
      <c r="Q115" s="3" t="str">
        <f aca="false">IF(O115&gt;About!$B$4,"Yes","No")</f>
        <v>No</v>
      </c>
      <c r="R115" s="3" t="s">
        <v>420</v>
      </c>
      <c r="S115" s="3" t="str">
        <f aca="false">IF(R115="","",INDEX($B$2:$B$231,MATCH(R115,$A$2:$A$231,0))&amp;" "&amp;INDEX($C$2:$C$231,MATCH(R115,$A$2:$A$231,0)))</f>
        <v>Leo Fitzgerald</v>
      </c>
      <c r="T115" s="3" t="s">
        <v>34</v>
      </c>
      <c r="U115" s="3" t="str">
        <f aca="false">H115&amp;" | "&amp;G115</f>
        <v>Regulatory &amp; Trade Compliance | Lawyer - Junior</v>
      </c>
    </row>
    <row r="116" customFormat="false" ht="15" hidden="false" customHeight="true" outlineLevel="0" collapsed="false">
      <c r="A116" s="3" t="s">
        <v>456</v>
      </c>
      <c r="B116" s="3" t="s">
        <v>158</v>
      </c>
      <c r="C116" s="3" t="s">
        <v>98</v>
      </c>
      <c r="D116" s="3" t="s">
        <v>457</v>
      </c>
      <c r="E116" s="3" t="s">
        <v>116</v>
      </c>
      <c r="F116" s="3" t="s">
        <v>117</v>
      </c>
      <c r="G116" s="3" t="s">
        <v>118</v>
      </c>
      <c r="H116" s="3" t="s">
        <v>424</v>
      </c>
      <c r="I116" s="3"/>
      <c r="J116" s="3" t="s">
        <v>111</v>
      </c>
      <c r="K116" s="3" t="s">
        <v>30</v>
      </c>
      <c r="L116" s="3" t="s">
        <v>31</v>
      </c>
      <c r="M116" s="3" t="s">
        <v>90</v>
      </c>
      <c r="N116" s="3" t="s">
        <v>33</v>
      </c>
      <c r="O116" s="4" t="n">
        <v>39159</v>
      </c>
      <c r="P116" s="3" t="n">
        <f aca="false">ROUND((About!$B$3-O116)/365.25,1)</f>
        <v>19.5</v>
      </c>
      <c r="Q116" s="3" t="str">
        <f aca="false">IF(O116&gt;About!$B$4,"Yes","No")</f>
        <v>No</v>
      </c>
      <c r="R116" s="3" t="s">
        <v>420</v>
      </c>
      <c r="S116" s="3" t="str">
        <f aca="false">IF(R116="","",INDEX($B$2:$B$231,MATCH(R116,$A$2:$A$231,0))&amp;" "&amp;INDEX($C$2:$C$231,MATCH(R116,$A$2:$A$231,0)))</f>
        <v>Leo Fitzgerald</v>
      </c>
      <c r="T116" s="3" t="s">
        <v>34</v>
      </c>
      <c r="U116" s="3" t="str">
        <f aca="false">H116&amp;" | "&amp;G116</f>
        <v>Regulatory &amp; Trade Compliance | Lawyer - Senior</v>
      </c>
    </row>
    <row r="117" customFormat="false" ht="15" hidden="false" customHeight="true" outlineLevel="0" collapsed="false">
      <c r="A117" s="3" t="s">
        <v>458</v>
      </c>
      <c r="B117" s="3" t="s">
        <v>78</v>
      </c>
      <c r="C117" s="3" t="s">
        <v>459</v>
      </c>
      <c r="D117" s="3" t="s">
        <v>460</v>
      </c>
      <c r="E117" s="3" t="s">
        <v>58</v>
      </c>
      <c r="F117" s="3" t="s">
        <v>59</v>
      </c>
      <c r="G117" s="3" t="s">
        <v>60</v>
      </c>
      <c r="H117" s="3" t="s">
        <v>424</v>
      </c>
      <c r="I117" s="3"/>
      <c r="J117" s="3" t="s">
        <v>29</v>
      </c>
      <c r="K117" s="3" t="s">
        <v>30</v>
      </c>
      <c r="L117" s="3" t="s">
        <v>31</v>
      </c>
      <c r="M117" s="3" t="s">
        <v>32</v>
      </c>
      <c r="N117" s="3" t="s">
        <v>124</v>
      </c>
      <c r="O117" s="4" t="n">
        <v>45989</v>
      </c>
      <c r="P117" s="3" t="n">
        <f aca="false">ROUND((About!$B$3-O117)/365.25,1)</f>
        <v>0.8</v>
      </c>
      <c r="Q117" s="3" t="str">
        <f aca="false">IF(O117&gt;About!$B$4,"Yes","No")</f>
        <v>Yes</v>
      </c>
      <c r="R117" s="3" t="s">
        <v>420</v>
      </c>
      <c r="S117" s="3" t="str">
        <f aca="false">IF(R117="","",INDEX($B$2:$B$231,MATCH(R117,$A$2:$A$231,0))&amp;" "&amp;INDEX($C$2:$C$231,MATCH(R117,$A$2:$A$231,0)))</f>
        <v>Leo Fitzgerald</v>
      </c>
      <c r="T117" s="3" t="s">
        <v>34</v>
      </c>
      <c r="U117" s="3" t="str">
        <f aca="false">H117&amp;" | "&amp;G117</f>
        <v>Regulatory &amp; Trade Compliance | Lawyer - Junior</v>
      </c>
    </row>
    <row r="118" customFormat="false" ht="15" hidden="false" customHeight="true" outlineLevel="0" collapsed="false">
      <c r="A118" s="3" t="s">
        <v>461</v>
      </c>
      <c r="B118" s="3" t="s">
        <v>177</v>
      </c>
      <c r="C118" s="3" t="s">
        <v>98</v>
      </c>
      <c r="D118" s="3" t="s">
        <v>462</v>
      </c>
      <c r="E118" s="3" t="s">
        <v>72</v>
      </c>
      <c r="F118" s="3" t="s">
        <v>73</v>
      </c>
      <c r="G118" s="3" t="s">
        <v>74</v>
      </c>
      <c r="H118" s="3" t="s">
        <v>424</v>
      </c>
      <c r="I118" s="3"/>
      <c r="J118" s="3" t="s">
        <v>111</v>
      </c>
      <c r="K118" s="3" t="s">
        <v>30</v>
      </c>
      <c r="L118" s="3" t="s">
        <v>31</v>
      </c>
      <c r="M118" s="3" t="s">
        <v>90</v>
      </c>
      <c r="N118" s="3" t="s">
        <v>33</v>
      </c>
      <c r="O118" s="4" t="n">
        <v>41859</v>
      </c>
      <c r="P118" s="3" t="n">
        <f aca="false">ROUND((About!$B$3-O118)/365.25,1)</f>
        <v>12.1</v>
      </c>
      <c r="Q118" s="3" t="str">
        <f aca="false">IF(O118&gt;About!$B$4,"Yes","No")</f>
        <v>No</v>
      </c>
      <c r="R118" s="3" t="s">
        <v>420</v>
      </c>
      <c r="S118" s="3" t="str">
        <f aca="false">IF(R118="","",INDEX($B$2:$B$231,MATCH(R118,$A$2:$A$231,0))&amp;" "&amp;INDEX($C$2:$C$231,MATCH(R118,$A$2:$A$231,0)))</f>
        <v>Leo Fitzgerald</v>
      </c>
      <c r="T118" s="3" t="s">
        <v>34</v>
      </c>
      <c r="U118" s="3" t="str">
        <f aca="false">H118&amp;" | "&amp;G118</f>
        <v>Regulatory &amp; Trade Compliance | Lawyer - Mid</v>
      </c>
    </row>
    <row r="119" customFormat="false" ht="15" hidden="false" customHeight="true" outlineLevel="0" collapsed="false">
      <c r="A119" s="3" t="s">
        <v>463</v>
      </c>
      <c r="B119" s="3" t="s">
        <v>145</v>
      </c>
      <c r="C119" s="3" t="s">
        <v>45</v>
      </c>
      <c r="D119" s="3" t="s">
        <v>464</v>
      </c>
      <c r="E119" s="3" t="s">
        <v>116</v>
      </c>
      <c r="F119" s="3" t="s">
        <v>117</v>
      </c>
      <c r="G119" s="3" t="s">
        <v>118</v>
      </c>
      <c r="H119" s="3" t="s">
        <v>424</v>
      </c>
      <c r="I119" s="3"/>
      <c r="J119" s="3" t="s">
        <v>148</v>
      </c>
      <c r="K119" s="3" t="s">
        <v>30</v>
      </c>
      <c r="L119" s="3" t="s">
        <v>31</v>
      </c>
      <c r="M119" s="3" t="s">
        <v>90</v>
      </c>
      <c r="N119" s="3" t="s">
        <v>124</v>
      </c>
      <c r="O119" s="4" t="n">
        <v>45496</v>
      </c>
      <c r="P119" s="3" t="n">
        <f aca="false">ROUND((About!$B$3-O119)/365.25,1)</f>
        <v>2.1</v>
      </c>
      <c r="Q119" s="3" t="str">
        <f aca="false">IF(O119&gt;About!$B$4,"Yes","No")</f>
        <v>Yes</v>
      </c>
      <c r="R119" s="3" t="s">
        <v>420</v>
      </c>
      <c r="S119" s="3" t="str">
        <f aca="false">IF(R119="","",INDEX($B$2:$B$231,MATCH(R119,$A$2:$A$231,0))&amp;" "&amp;INDEX($C$2:$C$231,MATCH(R119,$A$2:$A$231,0)))</f>
        <v>Leo Fitzgerald</v>
      </c>
      <c r="T119" s="3" t="s">
        <v>34</v>
      </c>
      <c r="U119" s="3" t="str">
        <f aca="false">H119&amp;" | "&amp;G119</f>
        <v>Regulatory &amp; Trade Compliance | Lawyer - Senior</v>
      </c>
    </row>
    <row r="120" customFormat="false" ht="15" hidden="false" customHeight="true" outlineLevel="0" collapsed="false">
      <c r="A120" s="3" t="s">
        <v>465</v>
      </c>
      <c r="B120" s="3" t="s">
        <v>466</v>
      </c>
      <c r="C120" s="3" t="s">
        <v>360</v>
      </c>
      <c r="D120" s="3" t="s">
        <v>467</v>
      </c>
      <c r="E120" s="3" t="s">
        <v>72</v>
      </c>
      <c r="F120" s="3" t="s">
        <v>73</v>
      </c>
      <c r="G120" s="3" t="s">
        <v>74</v>
      </c>
      <c r="H120" s="3" t="s">
        <v>424</v>
      </c>
      <c r="I120" s="3"/>
      <c r="J120" s="3" t="s">
        <v>29</v>
      </c>
      <c r="K120" s="3" t="s">
        <v>30</v>
      </c>
      <c r="L120" s="3" t="s">
        <v>31</v>
      </c>
      <c r="M120" s="3" t="s">
        <v>32</v>
      </c>
      <c r="N120" s="3" t="s">
        <v>33</v>
      </c>
      <c r="O120" s="4" t="n">
        <v>45911</v>
      </c>
      <c r="P120" s="3" t="n">
        <f aca="false">ROUND((About!$B$3-O120)/365.25,1)</f>
        <v>1</v>
      </c>
      <c r="Q120" s="3" t="str">
        <f aca="false">IF(O120&gt;About!$B$4,"Yes","No")</f>
        <v>Yes</v>
      </c>
      <c r="R120" s="3" t="s">
        <v>420</v>
      </c>
      <c r="S120" s="3" t="str">
        <f aca="false">IF(R120="","",INDEX($B$2:$B$231,MATCH(R120,$A$2:$A$231,0))&amp;" "&amp;INDEX($C$2:$C$231,MATCH(R120,$A$2:$A$231,0)))</f>
        <v>Leo Fitzgerald</v>
      </c>
      <c r="T120" s="3" t="s">
        <v>34</v>
      </c>
      <c r="U120" s="3" t="str">
        <f aca="false">H120&amp;" | "&amp;G120</f>
        <v>Regulatory &amp; Trade Compliance | Lawyer - Mid</v>
      </c>
    </row>
    <row r="121" customFormat="false" ht="15" hidden="false" customHeight="true" outlineLevel="0" collapsed="false">
      <c r="A121" s="3" t="s">
        <v>468</v>
      </c>
      <c r="B121" s="3" t="s">
        <v>469</v>
      </c>
      <c r="C121" s="3" t="s">
        <v>109</v>
      </c>
      <c r="D121" s="3" t="s">
        <v>470</v>
      </c>
      <c r="E121" s="3" t="s">
        <v>58</v>
      </c>
      <c r="F121" s="3" t="s">
        <v>59</v>
      </c>
      <c r="G121" s="3" t="s">
        <v>60</v>
      </c>
      <c r="H121" s="3" t="s">
        <v>424</v>
      </c>
      <c r="I121" s="3"/>
      <c r="J121" s="3" t="s">
        <v>29</v>
      </c>
      <c r="K121" s="3" t="s">
        <v>30</v>
      </c>
      <c r="L121" s="3" t="s">
        <v>31</v>
      </c>
      <c r="M121" s="3" t="s">
        <v>32</v>
      </c>
      <c r="N121" s="3" t="s">
        <v>33</v>
      </c>
      <c r="O121" s="4" t="n">
        <v>42594</v>
      </c>
      <c r="P121" s="3" t="n">
        <f aca="false">ROUND((About!$B$3-O121)/365.25,1)</f>
        <v>10.1</v>
      </c>
      <c r="Q121" s="3" t="str">
        <f aca="false">IF(O121&gt;About!$B$4,"Yes","No")</f>
        <v>No</v>
      </c>
      <c r="R121" s="3" t="s">
        <v>420</v>
      </c>
      <c r="S121" s="3" t="str">
        <f aca="false">IF(R121="","",INDEX($B$2:$B$231,MATCH(R121,$A$2:$A$231,0))&amp;" "&amp;INDEX($C$2:$C$231,MATCH(R121,$A$2:$A$231,0)))</f>
        <v>Leo Fitzgerald</v>
      </c>
      <c r="T121" s="3" t="s">
        <v>34</v>
      </c>
      <c r="U121" s="3" t="str">
        <f aca="false">H121&amp;" | "&amp;G121</f>
        <v>Regulatory &amp; Trade Compliance | Lawyer - Junior</v>
      </c>
    </row>
    <row r="122" customFormat="false" ht="15" hidden="false" customHeight="true" outlineLevel="0" collapsed="false">
      <c r="A122" s="3" t="s">
        <v>471</v>
      </c>
      <c r="B122" s="3" t="s">
        <v>300</v>
      </c>
      <c r="C122" s="3" t="s">
        <v>37</v>
      </c>
      <c r="D122" s="3" t="s">
        <v>472</v>
      </c>
      <c r="E122" s="3" t="s">
        <v>58</v>
      </c>
      <c r="F122" s="3" t="s">
        <v>59</v>
      </c>
      <c r="G122" s="3" t="s">
        <v>60</v>
      </c>
      <c r="H122" s="3" t="s">
        <v>424</v>
      </c>
      <c r="I122" s="3"/>
      <c r="J122" s="3" t="s">
        <v>95</v>
      </c>
      <c r="K122" s="3" t="s">
        <v>30</v>
      </c>
      <c r="L122" s="3" t="s">
        <v>31</v>
      </c>
      <c r="M122" s="3" t="s">
        <v>90</v>
      </c>
      <c r="N122" s="3" t="s">
        <v>42</v>
      </c>
      <c r="O122" s="4" t="n">
        <v>37522</v>
      </c>
      <c r="P122" s="3" t="n">
        <f aca="false">ROUND((About!$B$3-O122)/365.25,1)</f>
        <v>24</v>
      </c>
      <c r="Q122" s="3" t="str">
        <f aca="false">IF(O122&gt;About!$B$4,"Yes","No")</f>
        <v>No</v>
      </c>
      <c r="R122" s="3" t="s">
        <v>420</v>
      </c>
      <c r="S122" s="3" t="str">
        <f aca="false">IF(R122="","",INDEX($B$2:$B$231,MATCH(R122,$A$2:$A$231,0))&amp;" "&amp;INDEX($C$2:$C$231,MATCH(R122,$A$2:$A$231,0)))</f>
        <v>Leo Fitzgerald</v>
      </c>
      <c r="T122" s="3" t="s">
        <v>34</v>
      </c>
      <c r="U122" s="3" t="str">
        <f aca="false">H122&amp;" | "&amp;G122</f>
        <v>Regulatory &amp; Trade Compliance | Lawyer - Junior</v>
      </c>
    </row>
    <row r="123" customFormat="false" ht="15" hidden="false" customHeight="true" outlineLevel="0" collapsed="false">
      <c r="A123" s="3" t="s">
        <v>473</v>
      </c>
      <c r="B123" s="3" t="s">
        <v>417</v>
      </c>
      <c r="C123" s="3" t="s">
        <v>308</v>
      </c>
      <c r="D123" s="3" t="s">
        <v>474</v>
      </c>
      <c r="E123" s="3" t="s">
        <v>194</v>
      </c>
      <c r="F123" s="3" t="s">
        <v>195</v>
      </c>
      <c r="G123" s="3" t="s">
        <v>196</v>
      </c>
      <c r="H123" s="3" t="s">
        <v>424</v>
      </c>
      <c r="I123" s="3" t="s">
        <v>197</v>
      </c>
      <c r="J123" s="3" t="s">
        <v>123</v>
      </c>
      <c r="K123" s="3" t="s">
        <v>30</v>
      </c>
      <c r="L123" s="3" t="s">
        <v>31</v>
      </c>
      <c r="M123" s="3" t="s">
        <v>90</v>
      </c>
      <c r="N123" s="3" t="s">
        <v>33</v>
      </c>
      <c r="O123" s="4" t="n">
        <v>41395</v>
      </c>
      <c r="P123" s="3" t="n">
        <f aca="false">ROUND((About!$B$3-O123)/365.25,1)</f>
        <v>13.4</v>
      </c>
      <c r="Q123" s="3" t="str">
        <f aca="false">IF(O123&gt;About!$B$4,"Yes","No")</f>
        <v>No</v>
      </c>
      <c r="R123" s="3" t="s">
        <v>198</v>
      </c>
      <c r="S123" s="3" t="str">
        <f aca="false">IF(R123="","",INDEX($B$2:$B$231,MATCH(R123,$A$2:$A$231,0))&amp;" "&amp;INDEX($C$2:$C$231,MATCH(R123,$A$2:$A$231,0)))</f>
        <v>Ada Paredes</v>
      </c>
      <c r="T123" s="3" t="s">
        <v>34</v>
      </c>
      <c r="U123" s="3" t="str">
        <f aca="false">H123&amp;" | "&amp;G123</f>
        <v>Regulatory &amp; Trade Compliance | Paraprofessional</v>
      </c>
    </row>
    <row r="124" customFormat="false" ht="15" hidden="false" customHeight="true" outlineLevel="0" collapsed="false">
      <c r="A124" s="3" t="s">
        <v>475</v>
      </c>
      <c r="B124" s="3" t="s">
        <v>476</v>
      </c>
      <c r="C124" s="3" t="s">
        <v>249</v>
      </c>
      <c r="D124" s="3" t="s">
        <v>477</v>
      </c>
      <c r="E124" s="3" t="s">
        <v>194</v>
      </c>
      <c r="F124" s="3" t="s">
        <v>195</v>
      </c>
      <c r="G124" s="3" t="s">
        <v>196</v>
      </c>
      <c r="H124" s="3" t="s">
        <v>424</v>
      </c>
      <c r="I124" s="3" t="s">
        <v>197</v>
      </c>
      <c r="J124" s="3" t="s">
        <v>29</v>
      </c>
      <c r="K124" s="3" t="s">
        <v>30</v>
      </c>
      <c r="L124" s="3" t="s">
        <v>31</v>
      </c>
      <c r="M124" s="3" t="s">
        <v>32</v>
      </c>
      <c r="N124" s="3" t="s">
        <v>124</v>
      </c>
      <c r="O124" s="4" t="n">
        <v>45750</v>
      </c>
      <c r="P124" s="3" t="n">
        <f aca="false">ROUND((About!$B$3-O124)/365.25,1)</f>
        <v>1.4</v>
      </c>
      <c r="Q124" s="3" t="str">
        <f aca="false">IF(O124&gt;About!$B$4,"Yes","No")</f>
        <v>Yes</v>
      </c>
      <c r="R124" s="3" t="s">
        <v>198</v>
      </c>
      <c r="S124" s="3" t="str">
        <f aca="false">IF(R124="","",INDEX($B$2:$B$231,MATCH(R124,$A$2:$A$231,0))&amp;" "&amp;INDEX($C$2:$C$231,MATCH(R124,$A$2:$A$231,0)))</f>
        <v>Ada Paredes</v>
      </c>
      <c r="T124" s="3" t="s">
        <v>34</v>
      </c>
      <c r="U124" s="3" t="str">
        <f aca="false">H124&amp;" | "&amp;G124</f>
        <v>Regulatory &amp; Trade Compliance | Paraprofessional</v>
      </c>
    </row>
    <row r="125" customFormat="false" ht="15" hidden="false" customHeight="true" outlineLevel="0" collapsed="false">
      <c r="A125" s="3" t="s">
        <v>478</v>
      </c>
      <c r="B125" s="3" t="s">
        <v>479</v>
      </c>
      <c r="C125" s="3" t="s">
        <v>350</v>
      </c>
      <c r="D125" s="3" t="s">
        <v>480</v>
      </c>
      <c r="E125" s="3" t="s">
        <v>194</v>
      </c>
      <c r="F125" s="3" t="s">
        <v>195</v>
      </c>
      <c r="G125" s="3" t="s">
        <v>196</v>
      </c>
      <c r="H125" s="3" t="s">
        <v>424</v>
      </c>
      <c r="I125" s="3" t="s">
        <v>197</v>
      </c>
      <c r="J125" s="3" t="s">
        <v>89</v>
      </c>
      <c r="K125" s="3" t="s">
        <v>30</v>
      </c>
      <c r="L125" s="3" t="s">
        <v>31</v>
      </c>
      <c r="M125" s="3" t="s">
        <v>90</v>
      </c>
      <c r="N125" s="3" t="s">
        <v>33</v>
      </c>
      <c r="O125" s="4" t="n">
        <v>38971</v>
      </c>
      <c r="P125" s="3" t="n">
        <f aca="false">ROUND((About!$B$3-O125)/365.25,1)</f>
        <v>20</v>
      </c>
      <c r="Q125" s="3" t="str">
        <f aca="false">IF(O125&gt;About!$B$4,"Yes","No")</f>
        <v>No</v>
      </c>
      <c r="R125" s="3" t="s">
        <v>198</v>
      </c>
      <c r="S125" s="3" t="str">
        <f aca="false">IF(R125="","",INDEX($B$2:$B$231,MATCH(R125,$A$2:$A$231,0))&amp;" "&amp;INDEX($C$2:$C$231,MATCH(R125,$A$2:$A$231,0)))</f>
        <v>Ada Paredes</v>
      </c>
      <c r="T125" s="3" t="s">
        <v>34</v>
      </c>
      <c r="U125" s="3" t="str">
        <f aca="false">H125&amp;" | "&amp;G125</f>
        <v>Regulatory &amp; Trade Compliance | Paraprofessional</v>
      </c>
    </row>
    <row r="126" customFormat="false" ht="15" hidden="false" customHeight="true" outlineLevel="0" collapsed="false">
      <c r="A126" s="3" t="s">
        <v>481</v>
      </c>
      <c r="B126" s="3" t="s">
        <v>168</v>
      </c>
      <c r="C126" s="3" t="s">
        <v>350</v>
      </c>
      <c r="D126" s="3" t="s">
        <v>482</v>
      </c>
      <c r="E126" s="3" t="s">
        <v>483</v>
      </c>
      <c r="F126" s="3" t="s">
        <v>195</v>
      </c>
      <c r="G126" s="3" t="s">
        <v>196</v>
      </c>
      <c r="H126" s="3" t="s">
        <v>424</v>
      </c>
      <c r="I126" s="3" t="s">
        <v>484</v>
      </c>
      <c r="J126" s="3" t="s">
        <v>485</v>
      </c>
      <c r="K126" s="3" t="s">
        <v>486</v>
      </c>
      <c r="L126" s="3" t="s">
        <v>63</v>
      </c>
      <c r="M126" s="3" t="s">
        <v>64</v>
      </c>
      <c r="N126" s="3" t="s">
        <v>124</v>
      </c>
      <c r="O126" s="4" t="n">
        <v>46158</v>
      </c>
      <c r="P126" s="3" t="n">
        <f aca="false">ROUND((About!$B$3-O126)/365.25,1)</f>
        <v>0.3</v>
      </c>
      <c r="Q126" s="3" t="str">
        <f aca="false">IF(O126&gt;About!$B$4,"Yes","No")</f>
        <v>Yes</v>
      </c>
      <c r="R126" s="3" t="s">
        <v>420</v>
      </c>
      <c r="S126" s="3" t="str">
        <f aca="false">IF(R126="","",INDEX($B$2:$B$231,MATCH(R126,$A$2:$A$231,0))&amp;" "&amp;INDEX($C$2:$C$231,MATCH(R126,$A$2:$A$231,0)))</f>
        <v>Leo Fitzgerald</v>
      </c>
      <c r="T126" s="3" t="s">
        <v>34</v>
      </c>
      <c r="U126" s="3" t="str">
        <f aca="false">H126&amp;" | "&amp;G126</f>
        <v>Regulatory &amp; Trade Compliance | Paraprofessional</v>
      </c>
    </row>
    <row r="127" customFormat="false" ht="15" hidden="false" customHeight="true" outlineLevel="0" collapsed="false">
      <c r="A127" s="3" t="s">
        <v>487</v>
      </c>
      <c r="B127" s="3" t="s">
        <v>447</v>
      </c>
      <c r="C127" s="3" t="s">
        <v>488</v>
      </c>
      <c r="D127" s="3" t="s">
        <v>489</v>
      </c>
      <c r="E127" s="3" t="s">
        <v>483</v>
      </c>
      <c r="F127" s="3" t="s">
        <v>195</v>
      </c>
      <c r="G127" s="3" t="s">
        <v>196</v>
      </c>
      <c r="H127" s="3" t="s">
        <v>424</v>
      </c>
      <c r="I127" s="3" t="s">
        <v>484</v>
      </c>
      <c r="J127" s="3" t="s">
        <v>437</v>
      </c>
      <c r="K127" s="3" t="s">
        <v>438</v>
      </c>
      <c r="L127" s="3" t="s">
        <v>439</v>
      </c>
      <c r="M127" s="3" t="s">
        <v>64</v>
      </c>
      <c r="N127" s="3" t="s">
        <v>124</v>
      </c>
      <c r="O127" s="4" t="n">
        <v>42317</v>
      </c>
      <c r="P127" s="3" t="n">
        <f aca="false">ROUND((About!$B$3-O127)/365.25,1)</f>
        <v>10.8</v>
      </c>
      <c r="Q127" s="3" t="str">
        <f aca="false">IF(O127&gt;About!$B$4,"Yes","No")</f>
        <v>No</v>
      </c>
      <c r="R127" s="3" t="s">
        <v>420</v>
      </c>
      <c r="S127" s="3" t="str">
        <f aca="false">IF(R127="","",INDEX($B$2:$B$231,MATCH(R127,$A$2:$A$231,0))&amp;" "&amp;INDEX($C$2:$C$231,MATCH(R127,$A$2:$A$231,0)))</f>
        <v>Leo Fitzgerald</v>
      </c>
      <c r="T127" s="3" t="s">
        <v>34</v>
      </c>
      <c r="U127" s="3" t="str">
        <f aca="false">H127&amp;" | "&amp;G127</f>
        <v>Regulatory &amp; Trade Compliance | Paraprofessional</v>
      </c>
    </row>
    <row r="128" customFormat="false" ht="15" hidden="false" customHeight="true" outlineLevel="0" collapsed="false">
      <c r="A128" s="3" t="s">
        <v>490</v>
      </c>
      <c r="B128" s="3" t="s">
        <v>260</v>
      </c>
      <c r="C128" s="3" t="s">
        <v>162</v>
      </c>
      <c r="D128" s="3" t="s">
        <v>491</v>
      </c>
      <c r="E128" s="3" t="s">
        <v>483</v>
      </c>
      <c r="F128" s="3" t="s">
        <v>195</v>
      </c>
      <c r="G128" s="3" t="s">
        <v>196</v>
      </c>
      <c r="H128" s="3" t="s">
        <v>424</v>
      </c>
      <c r="I128" s="3" t="s">
        <v>484</v>
      </c>
      <c r="J128" s="3" t="s">
        <v>123</v>
      </c>
      <c r="K128" s="3" t="s">
        <v>30</v>
      </c>
      <c r="L128" s="3" t="s">
        <v>31</v>
      </c>
      <c r="M128" s="3" t="s">
        <v>90</v>
      </c>
      <c r="N128" s="3" t="s">
        <v>33</v>
      </c>
      <c r="O128" s="4" t="n">
        <v>40129</v>
      </c>
      <c r="P128" s="3" t="n">
        <f aca="false">ROUND((About!$B$3-O128)/365.25,1)</f>
        <v>16.8</v>
      </c>
      <c r="Q128" s="3" t="str">
        <f aca="false">IF(O128&gt;About!$B$4,"Yes","No")</f>
        <v>No</v>
      </c>
      <c r="R128" s="3" t="s">
        <v>420</v>
      </c>
      <c r="S128" s="3" t="str">
        <f aca="false">IF(R128="","",INDEX($B$2:$B$231,MATCH(R128,$A$2:$A$231,0))&amp;" "&amp;INDEX($C$2:$C$231,MATCH(R128,$A$2:$A$231,0)))</f>
        <v>Leo Fitzgerald</v>
      </c>
      <c r="T128" s="3" t="s">
        <v>34</v>
      </c>
      <c r="U128" s="3" t="str">
        <f aca="false">H128&amp;" | "&amp;G128</f>
        <v>Regulatory &amp; Trade Compliance | Paraprofessional</v>
      </c>
    </row>
    <row r="129" customFormat="false" ht="15" hidden="false" customHeight="true" outlineLevel="0" collapsed="false">
      <c r="A129" s="3" t="s">
        <v>492</v>
      </c>
      <c r="B129" s="3" t="s">
        <v>469</v>
      </c>
      <c r="C129" s="3" t="s">
        <v>493</v>
      </c>
      <c r="D129" s="3" t="s">
        <v>494</v>
      </c>
      <c r="E129" s="3" t="s">
        <v>39</v>
      </c>
      <c r="F129" s="3" t="s">
        <v>40</v>
      </c>
      <c r="G129" s="3" t="s">
        <v>39</v>
      </c>
      <c r="H129" s="3" t="s">
        <v>424</v>
      </c>
      <c r="I129" s="3" t="s">
        <v>41</v>
      </c>
      <c r="J129" s="3" t="s">
        <v>148</v>
      </c>
      <c r="K129" s="3" t="s">
        <v>30</v>
      </c>
      <c r="L129" s="3" t="s">
        <v>31</v>
      </c>
      <c r="M129" s="3" t="s">
        <v>90</v>
      </c>
      <c r="N129" s="3" t="s">
        <v>33</v>
      </c>
      <c r="O129" s="4" t="n">
        <v>38623</v>
      </c>
      <c r="P129" s="3" t="n">
        <f aca="false">ROUND((About!$B$3-O129)/365.25,1)</f>
        <v>20.9</v>
      </c>
      <c r="Q129" s="3" t="str">
        <f aca="false">IF(O129&gt;About!$B$4,"Yes","No")</f>
        <v>No</v>
      </c>
      <c r="R129" s="3" t="s">
        <v>420</v>
      </c>
      <c r="S129" s="3" t="str">
        <f aca="false">IF(R129="","",INDEX($B$2:$B$231,MATCH(R129,$A$2:$A$231,0))&amp;" "&amp;INDEX($C$2:$C$231,MATCH(R129,$A$2:$A$231,0)))</f>
        <v>Leo Fitzgerald</v>
      </c>
      <c r="T129" s="3" t="s">
        <v>34</v>
      </c>
      <c r="U129" s="3" t="str">
        <f aca="false">H129&amp;" | "&amp;G129</f>
        <v>Regulatory &amp; Trade Compliance | Executive Assistant</v>
      </c>
    </row>
    <row r="130" customFormat="false" ht="15" hidden="false" customHeight="true" outlineLevel="0" collapsed="false">
      <c r="A130" s="3" t="s">
        <v>495</v>
      </c>
      <c r="B130" s="3" t="s">
        <v>332</v>
      </c>
      <c r="C130" s="3" t="s">
        <v>172</v>
      </c>
      <c r="D130" s="3" t="s">
        <v>496</v>
      </c>
      <c r="E130" s="3" t="s">
        <v>497</v>
      </c>
      <c r="F130" s="3" t="s">
        <v>52</v>
      </c>
      <c r="G130" s="3" t="s">
        <v>27</v>
      </c>
      <c r="H130" s="3" t="s">
        <v>498</v>
      </c>
      <c r="I130" s="3"/>
      <c r="J130" s="3" t="s">
        <v>29</v>
      </c>
      <c r="K130" s="3" t="s">
        <v>30</v>
      </c>
      <c r="L130" s="3" t="s">
        <v>31</v>
      </c>
      <c r="M130" s="3" t="s">
        <v>32</v>
      </c>
      <c r="N130" s="3" t="s">
        <v>33</v>
      </c>
      <c r="O130" s="4" t="n">
        <v>43732</v>
      </c>
      <c r="P130" s="3" t="n">
        <f aca="false">ROUND((About!$B$3-O130)/365.25,1)</f>
        <v>7</v>
      </c>
      <c r="Q130" s="3" t="str">
        <f aca="false">IF(O130&gt;About!$B$4,"Yes","No")</f>
        <v>No</v>
      </c>
      <c r="R130" s="3" t="s">
        <v>21</v>
      </c>
      <c r="S130" s="3" t="str">
        <f aca="false">IF(R130="","",INDEX($B$2:$B$231,MATCH(R130,$A$2:$A$231,0))&amp;" "&amp;INDEX($C$2:$C$231,MATCH(R130,$A$2:$A$231,0)))</f>
        <v>Simon Rasmussen</v>
      </c>
      <c r="T130" s="3" t="s">
        <v>34</v>
      </c>
      <c r="U130" s="3" t="str">
        <f aca="false">H130&amp;" | "&amp;G130</f>
        <v>Employment &amp; Labor | Lawyer - Leadership</v>
      </c>
    </row>
    <row r="131" customFormat="false" ht="15" hidden="false" customHeight="true" outlineLevel="0" collapsed="false">
      <c r="A131" s="3" t="s">
        <v>499</v>
      </c>
      <c r="B131" s="3" t="s">
        <v>279</v>
      </c>
      <c r="C131" s="3" t="s">
        <v>121</v>
      </c>
      <c r="D131" s="3" t="s">
        <v>500</v>
      </c>
      <c r="E131" s="3" t="s">
        <v>72</v>
      </c>
      <c r="F131" s="3" t="s">
        <v>73</v>
      </c>
      <c r="G131" s="3" t="s">
        <v>74</v>
      </c>
      <c r="H131" s="3" t="s">
        <v>498</v>
      </c>
      <c r="I131" s="3"/>
      <c r="J131" s="3" t="s">
        <v>61</v>
      </c>
      <c r="K131" s="3" t="s">
        <v>62</v>
      </c>
      <c r="L131" s="3" t="s">
        <v>63</v>
      </c>
      <c r="M131" s="3" t="s">
        <v>64</v>
      </c>
      <c r="N131" s="3" t="s">
        <v>33</v>
      </c>
      <c r="O131" s="4" t="n">
        <v>46030</v>
      </c>
      <c r="P131" s="3" t="n">
        <f aca="false">ROUND((About!$B$3-O131)/365.25,1)</f>
        <v>0.7</v>
      </c>
      <c r="Q131" s="3" t="str">
        <f aca="false">IF(O131&gt;About!$B$4,"Yes","No")</f>
        <v>Yes</v>
      </c>
      <c r="R131" s="3" t="s">
        <v>495</v>
      </c>
      <c r="S131" s="3" t="str">
        <f aca="false">IF(R131="","",INDEX($B$2:$B$231,MATCH(R131,$A$2:$A$231,0))&amp;" "&amp;INDEX($C$2:$C$231,MATCH(R131,$A$2:$A$231,0)))</f>
        <v>Lina Mbeki</v>
      </c>
      <c r="T131" s="3" t="s">
        <v>34</v>
      </c>
      <c r="U131" s="3" t="str">
        <f aca="false">H131&amp;" | "&amp;G131</f>
        <v>Employment &amp; Labor | Lawyer - Mid</v>
      </c>
    </row>
    <row r="132" customFormat="false" ht="15" hidden="false" customHeight="true" outlineLevel="0" collapsed="false">
      <c r="A132" s="3" t="s">
        <v>501</v>
      </c>
      <c r="B132" s="3" t="s">
        <v>502</v>
      </c>
      <c r="C132" s="3" t="s">
        <v>503</v>
      </c>
      <c r="D132" s="3" t="s">
        <v>504</v>
      </c>
      <c r="E132" s="3" t="s">
        <v>58</v>
      </c>
      <c r="F132" s="3" t="s">
        <v>59</v>
      </c>
      <c r="G132" s="3" t="s">
        <v>60</v>
      </c>
      <c r="H132" s="3" t="s">
        <v>498</v>
      </c>
      <c r="I132" s="3"/>
      <c r="J132" s="3" t="s">
        <v>29</v>
      </c>
      <c r="K132" s="3" t="s">
        <v>30</v>
      </c>
      <c r="L132" s="3" t="s">
        <v>31</v>
      </c>
      <c r="M132" s="3" t="s">
        <v>32</v>
      </c>
      <c r="N132" s="3" t="s">
        <v>33</v>
      </c>
      <c r="O132" s="4" t="n">
        <v>40972</v>
      </c>
      <c r="P132" s="3" t="n">
        <f aca="false">ROUND((About!$B$3-O132)/365.25,1)</f>
        <v>14.5</v>
      </c>
      <c r="Q132" s="3" t="str">
        <f aca="false">IF(O132&gt;About!$B$4,"Yes","No")</f>
        <v>No</v>
      </c>
      <c r="R132" s="3" t="s">
        <v>495</v>
      </c>
      <c r="S132" s="3" t="str">
        <f aca="false">IF(R132="","",INDEX($B$2:$B$231,MATCH(R132,$A$2:$A$231,0))&amp;" "&amp;INDEX($C$2:$C$231,MATCH(R132,$A$2:$A$231,0)))</f>
        <v>Lina Mbeki</v>
      </c>
      <c r="T132" s="3" t="s">
        <v>34</v>
      </c>
      <c r="U132" s="3" t="str">
        <f aca="false">H132&amp;" | "&amp;G132</f>
        <v>Employment &amp; Labor | Lawyer - Junior</v>
      </c>
    </row>
    <row r="133" customFormat="false" ht="15" hidden="false" customHeight="true" outlineLevel="0" collapsed="false">
      <c r="A133" s="3" t="s">
        <v>505</v>
      </c>
      <c r="B133" s="3" t="s">
        <v>368</v>
      </c>
      <c r="C133" s="3" t="s">
        <v>506</v>
      </c>
      <c r="D133" s="3" t="s">
        <v>507</v>
      </c>
      <c r="E133" s="3" t="s">
        <v>116</v>
      </c>
      <c r="F133" s="3" t="s">
        <v>117</v>
      </c>
      <c r="G133" s="3" t="s">
        <v>118</v>
      </c>
      <c r="H133" s="3" t="s">
        <v>498</v>
      </c>
      <c r="I133" s="3"/>
      <c r="J133" s="3" t="s">
        <v>29</v>
      </c>
      <c r="K133" s="3" t="s">
        <v>30</v>
      </c>
      <c r="L133" s="3" t="s">
        <v>31</v>
      </c>
      <c r="M133" s="3" t="s">
        <v>32</v>
      </c>
      <c r="N133" s="3" t="s">
        <v>124</v>
      </c>
      <c r="O133" s="4" t="n">
        <v>45816</v>
      </c>
      <c r="P133" s="3" t="n">
        <f aca="false">ROUND((About!$B$3-O133)/365.25,1)</f>
        <v>1.3</v>
      </c>
      <c r="Q133" s="3" t="str">
        <f aca="false">IF(O133&gt;About!$B$4,"Yes","No")</f>
        <v>Yes</v>
      </c>
      <c r="R133" s="3" t="s">
        <v>495</v>
      </c>
      <c r="S133" s="3" t="str">
        <f aca="false">IF(R133="","",INDEX($B$2:$B$231,MATCH(R133,$A$2:$A$231,0))&amp;" "&amp;INDEX($C$2:$C$231,MATCH(R133,$A$2:$A$231,0)))</f>
        <v>Lina Mbeki</v>
      </c>
      <c r="T133" s="3" t="s">
        <v>34</v>
      </c>
      <c r="U133" s="3" t="str">
        <f aca="false">H133&amp;" | "&amp;G133</f>
        <v>Employment &amp; Labor | Lawyer - Senior</v>
      </c>
    </row>
    <row r="134" customFormat="false" ht="15" hidden="false" customHeight="true" outlineLevel="0" collapsed="false">
      <c r="A134" s="3" t="s">
        <v>508</v>
      </c>
      <c r="B134" s="3" t="s">
        <v>70</v>
      </c>
      <c r="C134" s="3" t="s">
        <v>249</v>
      </c>
      <c r="D134" s="3" t="s">
        <v>509</v>
      </c>
      <c r="E134" s="3" t="s">
        <v>72</v>
      </c>
      <c r="F134" s="3" t="s">
        <v>73</v>
      </c>
      <c r="G134" s="3" t="s">
        <v>74</v>
      </c>
      <c r="H134" s="3" t="s">
        <v>498</v>
      </c>
      <c r="I134" s="3"/>
      <c r="J134" s="3" t="s">
        <v>137</v>
      </c>
      <c r="K134" s="3" t="s">
        <v>30</v>
      </c>
      <c r="L134" s="3" t="s">
        <v>31</v>
      </c>
      <c r="M134" s="3" t="s">
        <v>90</v>
      </c>
      <c r="N134" s="3" t="s">
        <v>33</v>
      </c>
      <c r="O134" s="4" t="n">
        <v>40213</v>
      </c>
      <c r="P134" s="3" t="n">
        <f aca="false">ROUND((About!$B$3-O134)/365.25,1)</f>
        <v>16.6</v>
      </c>
      <c r="Q134" s="3" t="str">
        <f aca="false">IF(O134&gt;About!$B$4,"Yes","No")</f>
        <v>No</v>
      </c>
      <c r="R134" s="3" t="s">
        <v>495</v>
      </c>
      <c r="S134" s="3" t="str">
        <f aca="false">IF(R134="","",INDEX($B$2:$B$231,MATCH(R134,$A$2:$A$231,0))&amp;" "&amp;INDEX($C$2:$C$231,MATCH(R134,$A$2:$A$231,0)))</f>
        <v>Lina Mbeki</v>
      </c>
      <c r="T134" s="3" t="s">
        <v>34</v>
      </c>
      <c r="U134" s="3" t="str">
        <f aca="false">H134&amp;" | "&amp;G134</f>
        <v>Employment &amp; Labor | Lawyer - Mid</v>
      </c>
    </row>
    <row r="135" customFormat="false" ht="15" hidden="false" customHeight="true" outlineLevel="0" collapsed="false">
      <c r="A135" s="3" t="s">
        <v>510</v>
      </c>
      <c r="B135" s="3" t="s">
        <v>511</v>
      </c>
      <c r="C135" s="3" t="s">
        <v>512</v>
      </c>
      <c r="D135" s="3" t="s">
        <v>513</v>
      </c>
      <c r="E135" s="3" t="s">
        <v>58</v>
      </c>
      <c r="F135" s="3" t="s">
        <v>59</v>
      </c>
      <c r="G135" s="3" t="s">
        <v>60</v>
      </c>
      <c r="H135" s="3" t="s">
        <v>498</v>
      </c>
      <c r="I135" s="3"/>
      <c r="J135" s="3" t="s">
        <v>29</v>
      </c>
      <c r="K135" s="3" t="s">
        <v>30</v>
      </c>
      <c r="L135" s="3" t="s">
        <v>31</v>
      </c>
      <c r="M135" s="3" t="s">
        <v>32</v>
      </c>
      <c r="N135" s="3" t="s">
        <v>42</v>
      </c>
      <c r="O135" s="4" t="n">
        <v>45953</v>
      </c>
      <c r="P135" s="3" t="n">
        <f aca="false">ROUND((About!$B$3-O135)/365.25,1)</f>
        <v>0.9</v>
      </c>
      <c r="Q135" s="3" t="str">
        <f aca="false">IF(O135&gt;About!$B$4,"Yes","No")</f>
        <v>Yes</v>
      </c>
      <c r="R135" s="3" t="s">
        <v>495</v>
      </c>
      <c r="S135" s="3" t="str">
        <f aca="false">IF(R135="","",INDEX($B$2:$B$231,MATCH(R135,$A$2:$A$231,0))&amp;" "&amp;INDEX($C$2:$C$231,MATCH(R135,$A$2:$A$231,0)))</f>
        <v>Lina Mbeki</v>
      </c>
      <c r="T135" s="3" t="s">
        <v>34</v>
      </c>
      <c r="U135" s="3" t="str">
        <f aca="false">H135&amp;" | "&amp;G135</f>
        <v>Employment &amp; Labor | Lawyer - Junior</v>
      </c>
    </row>
    <row r="136" customFormat="false" ht="15" hidden="false" customHeight="true" outlineLevel="0" collapsed="false">
      <c r="A136" s="3" t="s">
        <v>514</v>
      </c>
      <c r="B136" s="3" t="s">
        <v>476</v>
      </c>
      <c r="C136" s="3" t="s">
        <v>515</v>
      </c>
      <c r="D136" s="3" t="s">
        <v>516</v>
      </c>
      <c r="E136" s="3" t="s">
        <v>116</v>
      </c>
      <c r="F136" s="3" t="s">
        <v>117</v>
      </c>
      <c r="G136" s="3" t="s">
        <v>118</v>
      </c>
      <c r="H136" s="3" t="s">
        <v>498</v>
      </c>
      <c r="I136" s="3"/>
      <c r="J136" s="3" t="s">
        <v>29</v>
      </c>
      <c r="K136" s="3" t="s">
        <v>30</v>
      </c>
      <c r="L136" s="3" t="s">
        <v>31</v>
      </c>
      <c r="M136" s="3" t="s">
        <v>32</v>
      </c>
      <c r="N136" s="3" t="s">
        <v>33</v>
      </c>
      <c r="O136" s="4" t="n">
        <v>39637</v>
      </c>
      <c r="P136" s="3" t="n">
        <f aca="false">ROUND((About!$B$3-O136)/365.25,1)</f>
        <v>18.2</v>
      </c>
      <c r="Q136" s="3" t="str">
        <f aca="false">IF(O136&gt;About!$B$4,"Yes","No")</f>
        <v>No</v>
      </c>
      <c r="R136" s="3" t="s">
        <v>495</v>
      </c>
      <c r="S136" s="3" t="str">
        <f aca="false">IF(R136="","",INDEX($B$2:$B$231,MATCH(R136,$A$2:$A$231,0))&amp;" "&amp;INDEX($C$2:$C$231,MATCH(R136,$A$2:$A$231,0)))</f>
        <v>Lina Mbeki</v>
      </c>
      <c r="T136" s="3" t="s">
        <v>34</v>
      </c>
      <c r="U136" s="3" t="str">
        <f aca="false">H136&amp;" | "&amp;G136</f>
        <v>Employment &amp; Labor | Lawyer - Senior</v>
      </c>
    </row>
    <row r="137" customFormat="false" ht="15" hidden="false" customHeight="true" outlineLevel="0" collapsed="false">
      <c r="A137" s="3" t="s">
        <v>517</v>
      </c>
      <c r="B137" s="3" t="s">
        <v>208</v>
      </c>
      <c r="C137" s="3" t="s">
        <v>421</v>
      </c>
      <c r="D137" s="3" t="s">
        <v>518</v>
      </c>
      <c r="E137" s="3" t="s">
        <v>72</v>
      </c>
      <c r="F137" s="3" t="s">
        <v>73</v>
      </c>
      <c r="G137" s="3" t="s">
        <v>74</v>
      </c>
      <c r="H137" s="3" t="s">
        <v>498</v>
      </c>
      <c r="I137" s="3"/>
      <c r="J137" s="3" t="s">
        <v>29</v>
      </c>
      <c r="K137" s="3" t="s">
        <v>30</v>
      </c>
      <c r="L137" s="3" t="s">
        <v>31</v>
      </c>
      <c r="M137" s="3" t="s">
        <v>32</v>
      </c>
      <c r="N137" s="3" t="s">
        <v>33</v>
      </c>
      <c r="O137" s="4" t="n">
        <v>42091</v>
      </c>
      <c r="P137" s="3" t="n">
        <f aca="false">ROUND((About!$B$3-O137)/365.25,1)</f>
        <v>11.5</v>
      </c>
      <c r="Q137" s="3" t="str">
        <f aca="false">IF(O137&gt;About!$B$4,"Yes","No")</f>
        <v>No</v>
      </c>
      <c r="R137" s="3" t="s">
        <v>495</v>
      </c>
      <c r="S137" s="3" t="str">
        <f aca="false">IF(R137="","",INDEX($B$2:$B$231,MATCH(R137,$A$2:$A$231,0))&amp;" "&amp;INDEX($C$2:$C$231,MATCH(R137,$A$2:$A$231,0)))</f>
        <v>Lina Mbeki</v>
      </c>
      <c r="T137" s="3" t="s">
        <v>34</v>
      </c>
      <c r="U137" s="3" t="str">
        <f aca="false">H137&amp;" | "&amp;G137</f>
        <v>Employment &amp; Labor | Lawyer - Mid</v>
      </c>
    </row>
    <row r="138" customFormat="false" ht="15" hidden="false" customHeight="true" outlineLevel="0" collapsed="false">
      <c r="A138" s="3" t="s">
        <v>519</v>
      </c>
      <c r="B138" s="3" t="s">
        <v>55</v>
      </c>
      <c r="C138" s="3" t="s">
        <v>139</v>
      </c>
      <c r="D138" s="3" t="s">
        <v>520</v>
      </c>
      <c r="E138" s="3" t="s">
        <v>72</v>
      </c>
      <c r="F138" s="3" t="s">
        <v>73</v>
      </c>
      <c r="G138" s="3" t="s">
        <v>74</v>
      </c>
      <c r="H138" s="3" t="s">
        <v>498</v>
      </c>
      <c r="I138" s="3"/>
      <c r="J138" s="3" t="s">
        <v>148</v>
      </c>
      <c r="K138" s="3" t="s">
        <v>30</v>
      </c>
      <c r="L138" s="3" t="s">
        <v>31</v>
      </c>
      <c r="M138" s="3" t="s">
        <v>90</v>
      </c>
      <c r="N138" s="3" t="s">
        <v>33</v>
      </c>
      <c r="O138" s="4" t="n">
        <v>45725</v>
      </c>
      <c r="P138" s="3" t="n">
        <f aca="false">ROUND((About!$B$3-O138)/365.25,1)</f>
        <v>1.5</v>
      </c>
      <c r="Q138" s="3" t="str">
        <f aca="false">IF(O138&gt;About!$B$4,"Yes","No")</f>
        <v>Yes</v>
      </c>
      <c r="R138" s="3" t="s">
        <v>495</v>
      </c>
      <c r="S138" s="3" t="str">
        <f aca="false">IF(R138="","",INDEX($B$2:$B$231,MATCH(R138,$A$2:$A$231,0))&amp;" "&amp;INDEX($C$2:$C$231,MATCH(R138,$A$2:$A$231,0)))</f>
        <v>Lina Mbeki</v>
      </c>
      <c r="T138" s="3" t="s">
        <v>34</v>
      </c>
      <c r="U138" s="3" t="str">
        <f aca="false">H138&amp;" | "&amp;G138</f>
        <v>Employment &amp; Labor | Lawyer - Mid</v>
      </c>
    </row>
    <row r="139" customFormat="false" ht="15" hidden="false" customHeight="true" outlineLevel="0" collapsed="false">
      <c r="A139" s="3" t="s">
        <v>521</v>
      </c>
      <c r="B139" s="3" t="s">
        <v>223</v>
      </c>
      <c r="C139" s="3" t="s">
        <v>49</v>
      </c>
      <c r="D139" s="3" t="s">
        <v>522</v>
      </c>
      <c r="E139" s="3" t="s">
        <v>58</v>
      </c>
      <c r="F139" s="3" t="s">
        <v>59</v>
      </c>
      <c r="G139" s="3" t="s">
        <v>60</v>
      </c>
      <c r="H139" s="3" t="s">
        <v>498</v>
      </c>
      <c r="I139" s="3"/>
      <c r="J139" s="3" t="s">
        <v>29</v>
      </c>
      <c r="K139" s="3" t="s">
        <v>30</v>
      </c>
      <c r="L139" s="3" t="s">
        <v>31</v>
      </c>
      <c r="M139" s="3" t="s">
        <v>32</v>
      </c>
      <c r="N139" s="3" t="s">
        <v>33</v>
      </c>
      <c r="O139" s="4" t="n">
        <v>40976</v>
      </c>
      <c r="P139" s="3" t="n">
        <f aca="false">ROUND((About!$B$3-O139)/365.25,1)</f>
        <v>14.5</v>
      </c>
      <c r="Q139" s="3" t="str">
        <f aca="false">IF(O139&gt;About!$B$4,"Yes","No")</f>
        <v>No</v>
      </c>
      <c r="R139" s="3" t="s">
        <v>495</v>
      </c>
      <c r="S139" s="3" t="str">
        <f aca="false">IF(R139="","",INDEX($B$2:$B$231,MATCH(R139,$A$2:$A$231,0))&amp;" "&amp;INDEX($C$2:$C$231,MATCH(R139,$A$2:$A$231,0)))</f>
        <v>Lina Mbeki</v>
      </c>
      <c r="T139" s="3" t="s">
        <v>34</v>
      </c>
      <c r="U139" s="3" t="str">
        <f aca="false">H139&amp;" | "&amp;G139</f>
        <v>Employment &amp; Labor | Lawyer - Junior</v>
      </c>
    </row>
    <row r="140" customFormat="false" ht="15" hidden="false" customHeight="true" outlineLevel="0" collapsed="false">
      <c r="A140" s="3" t="s">
        <v>523</v>
      </c>
      <c r="B140" s="3" t="s">
        <v>319</v>
      </c>
      <c r="C140" s="3" t="s">
        <v>524</v>
      </c>
      <c r="D140" s="3" t="s">
        <v>525</v>
      </c>
      <c r="E140" s="3" t="s">
        <v>58</v>
      </c>
      <c r="F140" s="3" t="s">
        <v>59</v>
      </c>
      <c r="G140" s="3" t="s">
        <v>60</v>
      </c>
      <c r="H140" s="3" t="s">
        <v>498</v>
      </c>
      <c r="I140" s="3"/>
      <c r="J140" s="3" t="s">
        <v>29</v>
      </c>
      <c r="K140" s="3" t="s">
        <v>30</v>
      </c>
      <c r="L140" s="3" t="s">
        <v>31</v>
      </c>
      <c r="M140" s="3" t="s">
        <v>32</v>
      </c>
      <c r="N140" s="3" t="s">
        <v>33</v>
      </c>
      <c r="O140" s="4" t="n">
        <v>39055</v>
      </c>
      <c r="P140" s="3" t="n">
        <f aca="false">ROUND((About!$B$3-O140)/365.25,1)</f>
        <v>19.8</v>
      </c>
      <c r="Q140" s="3" t="str">
        <f aca="false">IF(O140&gt;About!$B$4,"Yes","No")</f>
        <v>No</v>
      </c>
      <c r="R140" s="3" t="s">
        <v>495</v>
      </c>
      <c r="S140" s="3" t="str">
        <f aca="false">IF(R140="","",INDEX($B$2:$B$231,MATCH(R140,$A$2:$A$231,0))&amp;" "&amp;INDEX($C$2:$C$231,MATCH(R140,$A$2:$A$231,0)))</f>
        <v>Lina Mbeki</v>
      </c>
      <c r="T140" s="3" t="s">
        <v>34</v>
      </c>
      <c r="U140" s="3" t="str">
        <f aca="false">H140&amp;" | "&amp;G140</f>
        <v>Employment &amp; Labor | Lawyer - Junior</v>
      </c>
    </row>
    <row r="141" customFormat="false" ht="15" hidden="false" customHeight="true" outlineLevel="0" collapsed="false">
      <c r="A141" s="3" t="s">
        <v>526</v>
      </c>
      <c r="B141" s="3" t="s">
        <v>502</v>
      </c>
      <c r="C141" s="3" t="s">
        <v>506</v>
      </c>
      <c r="D141" s="3" t="s">
        <v>527</v>
      </c>
      <c r="E141" s="3" t="s">
        <v>58</v>
      </c>
      <c r="F141" s="3" t="s">
        <v>59</v>
      </c>
      <c r="G141" s="3" t="s">
        <v>60</v>
      </c>
      <c r="H141" s="3" t="s">
        <v>498</v>
      </c>
      <c r="I141" s="3"/>
      <c r="J141" s="3" t="s">
        <v>89</v>
      </c>
      <c r="K141" s="3" t="s">
        <v>30</v>
      </c>
      <c r="L141" s="3" t="s">
        <v>31</v>
      </c>
      <c r="M141" s="3" t="s">
        <v>90</v>
      </c>
      <c r="N141" s="3" t="s">
        <v>33</v>
      </c>
      <c r="O141" s="4" t="n">
        <v>45367</v>
      </c>
      <c r="P141" s="3" t="n">
        <f aca="false">ROUND((About!$B$3-O141)/365.25,1)</f>
        <v>2.5</v>
      </c>
      <c r="Q141" s="3" t="str">
        <f aca="false">IF(O141&gt;About!$B$4,"Yes","No")</f>
        <v>No</v>
      </c>
      <c r="R141" s="3" t="s">
        <v>495</v>
      </c>
      <c r="S141" s="3" t="str">
        <f aca="false">IF(R141="","",INDEX($B$2:$B$231,MATCH(R141,$A$2:$A$231,0))&amp;" "&amp;INDEX($C$2:$C$231,MATCH(R141,$A$2:$A$231,0)))</f>
        <v>Lina Mbeki</v>
      </c>
      <c r="T141" s="3" t="s">
        <v>34</v>
      </c>
      <c r="U141" s="3" t="str">
        <f aca="false">H141&amp;" | "&amp;G141</f>
        <v>Employment &amp; Labor | Lawyer - Junior</v>
      </c>
    </row>
    <row r="142" customFormat="false" ht="15" hidden="false" customHeight="true" outlineLevel="0" collapsed="false">
      <c r="A142" s="3" t="s">
        <v>528</v>
      </c>
      <c r="B142" s="3" t="s">
        <v>382</v>
      </c>
      <c r="C142" s="3" t="s">
        <v>323</v>
      </c>
      <c r="D142" s="3" t="s">
        <v>529</v>
      </c>
      <c r="E142" s="3" t="s">
        <v>116</v>
      </c>
      <c r="F142" s="3" t="s">
        <v>117</v>
      </c>
      <c r="G142" s="3" t="s">
        <v>118</v>
      </c>
      <c r="H142" s="3" t="s">
        <v>498</v>
      </c>
      <c r="I142" s="3"/>
      <c r="J142" s="3" t="s">
        <v>29</v>
      </c>
      <c r="K142" s="3" t="s">
        <v>30</v>
      </c>
      <c r="L142" s="3" t="s">
        <v>31</v>
      </c>
      <c r="M142" s="3" t="s">
        <v>32</v>
      </c>
      <c r="N142" s="3" t="s">
        <v>33</v>
      </c>
      <c r="O142" s="4" t="n">
        <v>45597</v>
      </c>
      <c r="P142" s="3" t="n">
        <f aca="false">ROUND((About!$B$3-O142)/365.25,1)</f>
        <v>1.9</v>
      </c>
      <c r="Q142" s="3" t="str">
        <f aca="false">IF(O142&gt;About!$B$4,"Yes","No")</f>
        <v>Yes</v>
      </c>
      <c r="R142" s="3" t="s">
        <v>495</v>
      </c>
      <c r="S142" s="3" t="str">
        <f aca="false">IF(R142="","",INDEX($B$2:$B$231,MATCH(R142,$A$2:$A$231,0))&amp;" "&amp;INDEX($C$2:$C$231,MATCH(R142,$A$2:$A$231,0)))</f>
        <v>Lina Mbeki</v>
      </c>
      <c r="T142" s="3" t="s">
        <v>34</v>
      </c>
      <c r="U142" s="3" t="str">
        <f aca="false">H142&amp;" | "&amp;G142</f>
        <v>Employment &amp; Labor | Lawyer - Senior</v>
      </c>
    </row>
    <row r="143" customFormat="false" ht="15" hidden="false" customHeight="true" outlineLevel="0" collapsed="false">
      <c r="A143" s="3" t="s">
        <v>530</v>
      </c>
      <c r="B143" s="3" t="s">
        <v>92</v>
      </c>
      <c r="C143" s="3" t="s">
        <v>531</v>
      </c>
      <c r="D143" s="3" t="s">
        <v>532</v>
      </c>
      <c r="E143" s="3" t="s">
        <v>72</v>
      </c>
      <c r="F143" s="3" t="s">
        <v>73</v>
      </c>
      <c r="G143" s="3" t="s">
        <v>74</v>
      </c>
      <c r="H143" s="3" t="s">
        <v>498</v>
      </c>
      <c r="I143" s="3"/>
      <c r="J143" s="3" t="s">
        <v>29</v>
      </c>
      <c r="K143" s="3" t="s">
        <v>30</v>
      </c>
      <c r="L143" s="3" t="s">
        <v>31</v>
      </c>
      <c r="M143" s="3" t="s">
        <v>32</v>
      </c>
      <c r="N143" s="3" t="s">
        <v>33</v>
      </c>
      <c r="O143" s="4" t="n">
        <v>42787</v>
      </c>
      <c r="P143" s="3" t="n">
        <f aca="false">ROUND((About!$B$3-O143)/365.25,1)</f>
        <v>9.5</v>
      </c>
      <c r="Q143" s="3" t="str">
        <f aca="false">IF(O143&gt;About!$B$4,"Yes","No")</f>
        <v>No</v>
      </c>
      <c r="R143" s="3" t="s">
        <v>495</v>
      </c>
      <c r="S143" s="3" t="str">
        <f aca="false">IF(R143="","",INDEX($B$2:$B$231,MATCH(R143,$A$2:$A$231,0))&amp;" "&amp;INDEX($C$2:$C$231,MATCH(R143,$A$2:$A$231,0)))</f>
        <v>Lina Mbeki</v>
      </c>
      <c r="T143" s="3" t="s">
        <v>34</v>
      </c>
      <c r="U143" s="3" t="str">
        <f aca="false">H143&amp;" | "&amp;G143</f>
        <v>Employment &amp; Labor | Lawyer - Mid</v>
      </c>
    </row>
    <row r="144" customFormat="false" ht="15" hidden="false" customHeight="true" outlineLevel="0" collapsed="false">
      <c r="A144" s="3" t="s">
        <v>533</v>
      </c>
      <c r="B144" s="3" t="s">
        <v>266</v>
      </c>
      <c r="C144" s="3" t="s">
        <v>534</v>
      </c>
      <c r="D144" s="3" t="s">
        <v>535</v>
      </c>
      <c r="E144" s="3" t="s">
        <v>194</v>
      </c>
      <c r="F144" s="3" t="s">
        <v>195</v>
      </c>
      <c r="G144" s="3" t="s">
        <v>196</v>
      </c>
      <c r="H144" s="3" t="s">
        <v>498</v>
      </c>
      <c r="I144" s="3" t="s">
        <v>197</v>
      </c>
      <c r="J144" s="3" t="s">
        <v>111</v>
      </c>
      <c r="K144" s="3" t="s">
        <v>30</v>
      </c>
      <c r="L144" s="3" t="s">
        <v>31</v>
      </c>
      <c r="M144" s="3" t="s">
        <v>90</v>
      </c>
      <c r="N144" s="3" t="s">
        <v>124</v>
      </c>
      <c r="O144" s="4" t="n">
        <v>45180</v>
      </c>
      <c r="P144" s="3" t="n">
        <f aca="false">ROUND((About!$B$3-O144)/365.25,1)</f>
        <v>3</v>
      </c>
      <c r="Q144" s="3" t="str">
        <f aca="false">IF(O144&gt;About!$B$4,"Yes","No")</f>
        <v>No</v>
      </c>
      <c r="R144" s="3" t="s">
        <v>198</v>
      </c>
      <c r="S144" s="3" t="str">
        <f aca="false">IF(R144="","",INDEX($B$2:$B$231,MATCH(R144,$A$2:$A$231,0))&amp;" "&amp;INDEX($C$2:$C$231,MATCH(R144,$A$2:$A$231,0)))</f>
        <v>Ada Paredes</v>
      </c>
      <c r="T144" s="3" t="s">
        <v>34</v>
      </c>
      <c r="U144" s="3" t="str">
        <f aca="false">H144&amp;" | "&amp;G144</f>
        <v>Employment &amp; Labor | Paraprofessional</v>
      </c>
    </row>
    <row r="145" customFormat="false" ht="15" hidden="false" customHeight="true" outlineLevel="0" collapsed="false">
      <c r="A145" s="3" t="s">
        <v>536</v>
      </c>
      <c r="B145" s="3" t="s">
        <v>502</v>
      </c>
      <c r="C145" s="3" t="s">
        <v>537</v>
      </c>
      <c r="D145" s="3" t="s">
        <v>538</v>
      </c>
      <c r="E145" s="3" t="s">
        <v>194</v>
      </c>
      <c r="F145" s="3" t="s">
        <v>195</v>
      </c>
      <c r="G145" s="3" t="s">
        <v>196</v>
      </c>
      <c r="H145" s="3" t="s">
        <v>498</v>
      </c>
      <c r="I145" s="3" t="s">
        <v>197</v>
      </c>
      <c r="J145" s="3" t="s">
        <v>29</v>
      </c>
      <c r="K145" s="3" t="s">
        <v>30</v>
      </c>
      <c r="L145" s="3" t="s">
        <v>31</v>
      </c>
      <c r="M145" s="3" t="s">
        <v>32</v>
      </c>
      <c r="N145" s="3" t="s">
        <v>33</v>
      </c>
      <c r="O145" s="4" t="n">
        <v>42275</v>
      </c>
      <c r="P145" s="3" t="n">
        <f aca="false">ROUND((About!$B$3-O145)/365.25,1)</f>
        <v>10.9</v>
      </c>
      <c r="Q145" s="3" t="str">
        <f aca="false">IF(O145&gt;About!$B$4,"Yes","No")</f>
        <v>No</v>
      </c>
      <c r="R145" s="3" t="s">
        <v>198</v>
      </c>
      <c r="S145" s="3" t="str">
        <f aca="false">IF(R145="","",INDEX($B$2:$B$231,MATCH(R145,$A$2:$A$231,0))&amp;" "&amp;INDEX($C$2:$C$231,MATCH(R145,$A$2:$A$231,0)))</f>
        <v>Ada Paredes</v>
      </c>
      <c r="T145" s="3" t="s">
        <v>34</v>
      </c>
      <c r="U145" s="3" t="str">
        <f aca="false">H145&amp;" | "&amp;G145</f>
        <v>Employment &amp; Labor | Paraprofessional</v>
      </c>
    </row>
    <row r="146" customFormat="false" ht="15" hidden="false" customHeight="true" outlineLevel="0" collapsed="false">
      <c r="A146" s="3" t="s">
        <v>539</v>
      </c>
      <c r="B146" s="3" t="s">
        <v>371</v>
      </c>
      <c r="C146" s="3" t="s">
        <v>540</v>
      </c>
      <c r="D146" s="3" t="s">
        <v>541</v>
      </c>
      <c r="E146" s="3" t="s">
        <v>194</v>
      </c>
      <c r="F146" s="3" t="s">
        <v>195</v>
      </c>
      <c r="G146" s="3" t="s">
        <v>196</v>
      </c>
      <c r="H146" s="3" t="s">
        <v>498</v>
      </c>
      <c r="I146" s="3" t="s">
        <v>197</v>
      </c>
      <c r="J146" s="3" t="s">
        <v>123</v>
      </c>
      <c r="K146" s="3" t="s">
        <v>30</v>
      </c>
      <c r="L146" s="3" t="s">
        <v>31</v>
      </c>
      <c r="M146" s="3" t="s">
        <v>90</v>
      </c>
      <c r="N146" s="3" t="s">
        <v>33</v>
      </c>
      <c r="O146" s="4" t="n">
        <v>44579</v>
      </c>
      <c r="P146" s="3" t="n">
        <f aca="false">ROUND((About!$B$3-O146)/365.25,1)</f>
        <v>4.6</v>
      </c>
      <c r="Q146" s="3" t="str">
        <f aca="false">IF(O146&gt;About!$B$4,"Yes","No")</f>
        <v>No</v>
      </c>
      <c r="R146" s="3" t="s">
        <v>198</v>
      </c>
      <c r="S146" s="3" t="str">
        <f aca="false">IF(R146="","",INDEX($B$2:$B$231,MATCH(R146,$A$2:$A$231,0))&amp;" "&amp;INDEX($C$2:$C$231,MATCH(R146,$A$2:$A$231,0)))</f>
        <v>Ada Paredes</v>
      </c>
      <c r="T146" s="3" t="s">
        <v>34</v>
      </c>
      <c r="U146" s="3" t="str">
        <f aca="false">H146&amp;" | "&amp;G146</f>
        <v>Employment &amp; Labor | Paraprofessional</v>
      </c>
    </row>
    <row r="147" customFormat="false" ht="15" hidden="false" customHeight="true" outlineLevel="0" collapsed="false">
      <c r="A147" s="3" t="s">
        <v>542</v>
      </c>
      <c r="B147" s="3" t="s">
        <v>543</v>
      </c>
      <c r="C147" s="3" t="s">
        <v>544</v>
      </c>
      <c r="D147" s="3" t="s">
        <v>545</v>
      </c>
      <c r="E147" s="3" t="s">
        <v>39</v>
      </c>
      <c r="F147" s="3" t="s">
        <v>40</v>
      </c>
      <c r="G147" s="3" t="s">
        <v>39</v>
      </c>
      <c r="H147" s="3" t="s">
        <v>498</v>
      </c>
      <c r="I147" s="3" t="s">
        <v>41</v>
      </c>
      <c r="J147" s="3" t="s">
        <v>29</v>
      </c>
      <c r="K147" s="3" t="s">
        <v>30</v>
      </c>
      <c r="L147" s="3" t="s">
        <v>31</v>
      </c>
      <c r="M147" s="3" t="s">
        <v>32</v>
      </c>
      <c r="N147" s="3" t="s">
        <v>33</v>
      </c>
      <c r="O147" s="4" t="n">
        <v>46170</v>
      </c>
      <c r="P147" s="3" t="n">
        <f aca="false">ROUND((About!$B$3-O147)/365.25,1)</f>
        <v>0.3</v>
      </c>
      <c r="Q147" s="3" t="str">
        <f aca="false">IF(O147&gt;About!$B$4,"Yes","No")</f>
        <v>Yes</v>
      </c>
      <c r="R147" s="3" t="s">
        <v>495</v>
      </c>
      <c r="S147" s="3" t="str">
        <f aca="false">IF(R147="","",INDEX($B$2:$B$231,MATCH(R147,$A$2:$A$231,0))&amp;" "&amp;INDEX($C$2:$C$231,MATCH(R147,$A$2:$A$231,0)))</f>
        <v>Lina Mbeki</v>
      </c>
      <c r="T147" s="3" t="s">
        <v>34</v>
      </c>
      <c r="U147" s="3" t="str">
        <f aca="false">H147&amp;" | "&amp;G147</f>
        <v>Employment &amp; Labor | Executive Assistant</v>
      </c>
    </row>
    <row r="148" customFormat="false" ht="15" hidden="false" customHeight="true" outlineLevel="0" collapsed="false">
      <c r="A148" s="3" t="s">
        <v>546</v>
      </c>
      <c r="B148" s="3" t="s">
        <v>547</v>
      </c>
      <c r="C148" s="3" t="s">
        <v>548</v>
      </c>
      <c r="D148" s="3" t="s">
        <v>549</v>
      </c>
      <c r="E148" s="3" t="s">
        <v>550</v>
      </c>
      <c r="F148" s="3" t="s">
        <v>52</v>
      </c>
      <c r="G148" s="3" t="s">
        <v>27</v>
      </c>
      <c r="H148" s="3" t="s">
        <v>551</v>
      </c>
      <c r="I148" s="3"/>
      <c r="J148" s="3" t="s">
        <v>29</v>
      </c>
      <c r="K148" s="3" t="s">
        <v>30</v>
      </c>
      <c r="L148" s="3" t="s">
        <v>31</v>
      </c>
      <c r="M148" s="3" t="s">
        <v>32</v>
      </c>
      <c r="N148" s="3" t="s">
        <v>33</v>
      </c>
      <c r="O148" s="4" t="n">
        <v>43905</v>
      </c>
      <c r="P148" s="3" t="n">
        <f aca="false">ROUND((About!$B$3-O148)/365.25,1)</f>
        <v>6.5</v>
      </c>
      <c r="Q148" s="3" t="str">
        <f aca="false">IF(O148&gt;About!$B$4,"Yes","No")</f>
        <v>No</v>
      </c>
      <c r="R148" s="3" t="s">
        <v>21</v>
      </c>
      <c r="S148" s="3" t="str">
        <f aca="false">IF(R148="","",INDEX($B$2:$B$231,MATCH(R148,$A$2:$A$231,0))&amp;" "&amp;INDEX($C$2:$C$231,MATCH(R148,$A$2:$A$231,0)))</f>
        <v>Simon Rasmussen</v>
      </c>
      <c r="T148" s="3" t="s">
        <v>34</v>
      </c>
      <c r="U148" s="3" t="str">
        <f aca="false">H148&amp;" | "&amp;G148</f>
        <v>Intellectual Property | Lawyer - Leadership</v>
      </c>
    </row>
    <row r="149" customFormat="false" ht="15" hidden="false" customHeight="true" outlineLevel="0" collapsed="false">
      <c r="A149" s="3" t="s">
        <v>552</v>
      </c>
      <c r="B149" s="3" t="s">
        <v>200</v>
      </c>
      <c r="C149" s="3" t="s">
        <v>246</v>
      </c>
      <c r="D149" s="3" t="s">
        <v>553</v>
      </c>
      <c r="E149" s="3" t="s">
        <v>72</v>
      </c>
      <c r="F149" s="3" t="s">
        <v>73</v>
      </c>
      <c r="G149" s="3" t="s">
        <v>74</v>
      </c>
      <c r="H149" s="3" t="s">
        <v>551</v>
      </c>
      <c r="I149" s="3"/>
      <c r="J149" s="3" t="s">
        <v>29</v>
      </c>
      <c r="K149" s="3" t="s">
        <v>30</v>
      </c>
      <c r="L149" s="3" t="s">
        <v>31</v>
      </c>
      <c r="M149" s="3" t="s">
        <v>32</v>
      </c>
      <c r="N149" s="3" t="s">
        <v>33</v>
      </c>
      <c r="O149" s="4" t="n">
        <v>45835</v>
      </c>
      <c r="P149" s="3" t="n">
        <f aca="false">ROUND((About!$B$3-O149)/365.25,1)</f>
        <v>1.2</v>
      </c>
      <c r="Q149" s="3" t="str">
        <f aca="false">IF(O149&gt;About!$B$4,"Yes","No")</f>
        <v>Yes</v>
      </c>
      <c r="R149" s="3" t="s">
        <v>546</v>
      </c>
      <c r="S149" s="3" t="str">
        <f aca="false">IF(R149="","",INDEX($B$2:$B$231,MATCH(R149,$A$2:$A$231,0))&amp;" "&amp;INDEX($C$2:$C$231,MATCH(R149,$A$2:$A$231,0)))</f>
        <v>Leila Reyes</v>
      </c>
      <c r="T149" s="3" t="s">
        <v>34</v>
      </c>
      <c r="U149" s="3" t="str">
        <f aca="false">H149&amp;" | "&amp;G149</f>
        <v>Intellectual Property | Lawyer - Mid</v>
      </c>
    </row>
    <row r="150" customFormat="false" ht="15" hidden="false" customHeight="true" outlineLevel="0" collapsed="false">
      <c r="A150" s="3" t="s">
        <v>554</v>
      </c>
      <c r="B150" s="3" t="s">
        <v>555</v>
      </c>
      <c r="C150" s="3" t="s">
        <v>135</v>
      </c>
      <c r="D150" s="3" t="s">
        <v>556</v>
      </c>
      <c r="E150" s="3" t="s">
        <v>72</v>
      </c>
      <c r="F150" s="3" t="s">
        <v>73</v>
      </c>
      <c r="G150" s="3" t="s">
        <v>74</v>
      </c>
      <c r="H150" s="3" t="s">
        <v>551</v>
      </c>
      <c r="I150" s="3"/>
      <c r="J150" s="3" t="s">
        <v>148</v>
      </c>
      <c r="K150" s="3" t="s">
        <v>30</v>
      </c>
      <c r="L150" s="3" t="s">
        <v>31</v>
      </c>
      <c r="M150" s="3" t="s">
        <v>90</v>
      </c>
      <c r="N150" s="3" t="s">
        <v>124</v>
      </c>
      <c r="O150" s="4" t="n">
        <v>45454</v>
      </c>
      <c r="P150" s="3" t="n">
        <f aca="false">ROUND((About!$B$3-O150)/365.25,1)</f>
        <v>2.2</v>
      </c>
      <c r="Q150" s="3" t="str">
        <f aca="false">IF(O150&gt;About!$B$4,"Yes","No")</f>
        <v>Yes</v>
      </c>
      <c r="R150" s="3" t="s">
        <v>546</v>
      </c>
      <c r="S150" s="3" t="str">
        <f aca="false">IF(R150="","",INDEX($B$2:$B$231,MATCH(R150,$A$2:$A$231,0))&amp;" "&amp;INDEX($C$2:$C$231,MATCH(R150,$A$2:$A$231,0)))</f>
        <v>Leila Reyes</v>
      </c>
      <c r="T150" s="3" t="s">
        <v>34</v>
      </c>
      <c r="U150" s="3" t="str">
        <f aca="false">H150&amp;" | "&amp;G150</f>
        <v>Intellectual Property | Lawyer - Mid</v>
      </c>
    </row>
    <row r="151" customFormat="false" ht="15" hidden="false" customHeight="true" outlineLevel="0" collapsed="false">
      <c r="A151" s="3" t="s">
        <v>557</v>
      </c>
      <c r="B151" s="3" t="s">
        <v>558</v>
      </c>
      <c r="C151" s="3" t="s">
        <v>559</v>
      </c>
      <c r="D151" s="3" t="s">
        <v>560</v>
      </c>
      <c r="E151" s="3" t="s">
        <v>72</v>
      </c>
      <c r="F151" s="3" t="s">
        <v>73</v>
      </c>
      <c r="G151" s="3" t="s">
        <v>74</v>
      </c>
      <c r="H151" s="3" t="s">
        <v>551</v>
      </c>
      <c r="I151" s="3"/>
      <c r="J151" s="3" t="s">
        <v>29</v>
      </c>
      <c r="K151" s="3" t="s">
        <v>30</v>
      </c>
      <c r="L151" s="3" t="s">
        <v>31</v>
      </c>
      <c r="M151" s="3" t="s">
        <v>32</v>
      </c>
      <c r="N151" s="3" t="s">
        <v>42</v>
      </c>
      <c r="O151" s="4" t="n">
        <v>43753</v>
      </c>
      <c r="P151" s="3" t="n">
        <f aca="false">ROUND((About!$B$3-O151)/365.25,1)</f>
        <v>6.9</v>
      </c>
      <c r="Q151" s="3" t="str">
        <f aca="false">IF(O151&gt;About!$B$4,"Yes","No")</f>
        <v>No</v>
      </c>
      <c r="R151" s="3" t="s">
        <v>546</v>
      </c>
      <c r="S151" s="3" t="str">
        <f aca="false">IF(R151="","",INDEX($B$2:$B$231,MATCH(R151,$A$2:$A$231,0))&amp;" "&amp;INDEX($C$2:$C$231,MATCH(R151,$A$2:$A$231,0)))</f>
        <v>Leila Reyes</v>
      </c>
      <c r="T151" s="3" t="s">
        <v>34</v>
      </c>
      <c r="U151" s="3" t="str">
        <f aca="false">H151&amp;" | "&amp;G151</f>
        <v>Intellectual Property | Lawyer - Mid</v>
      </c>
    </row>
    <row r="152" customFormat="false" ht="15" hidden="false" customHeight="true" outlineLevel="0" collapsed="false">
      <c r="A152" s="3" t="s">
        <v>561</v>
      </c>
      <c r="B152" s="3" t="s">
        <v>154</v>
      </c>
      <c r="C152" s="3" t="s">
        <v>139</v>
      </c>
      <c r="D152" s="3" t="s">
        <v>562</v>
      </c>
      <c r="E152" s="3" t="s">
        <v>58</v>
      </c>
      <c r="F152" s="3" t="s">
        <v>59</v>
      </c>
      <c r="G152" s="3" t="s">
        <v>60</v>
      </c>
      <c r="H152" s="3" t="s">
        <v>551</v>
      </c>
      <c r="I152" s="3"/>
      <c r="J152" s="3" t="s">
        <v>123</v>
      </c>
      <c r="K152" s="3" t="s">
        <v>30</v>
      </c>
      <c r="L152" s="3" t="s">
        <v>31</v>
      </c>
      <c r="M152" s="3" t="s">
        <v>90</v>
      </c>
      <c r="N152" s="3" t="s">
        <v>33</v>
      </c>
      <c r="O152" s="4" t="n">
        <v>46083</v>
      </c>
      <c r="P152" s="3" t="n">
        <f aca="false">ROUND((About!$B$3-O152)/365.25,1)</f>
        <v>0.5</v>
      </c>
      <c r="Q152" s="3" t="str">
        <f aca="false">IF(O152&gt;About!$B$4,"Yes","No")</f>
        <v>Yes</v>
      </c>
      <c r="R152" s="3" t="s">
        <v>546</v>
      </c>
      <c r="S152" s="3" t="str">
        <f aca="false">IF(R152="","",INDEX($B$2:$B$231,MATCH(R152,$A$2:$A$231,0))&amp;" "&amp;INDEX($C$2:$C$231,MATCH(R152,$A$2:$A$231,0)))</f>
        <v>Leila Reyes</v>
      </c>
      <c r="T152" s="3" t="s">
        <v>34</v>
      </c>
      <c r="U152" s="3" t="str">
        <f aca="false">H152&amp;" | "&amp;G152</f>
        <v>Intellectual Property | Lawyer - Junior</v>
      </c>
    </row>
    <row r="153" customFormat="false" ht="15" hidden="false" customHeight="true" outlineLevel="0" collapsed="false">
      <c r="A153" s="3" t="s">
        <v>563</v>
      </c>
      <c r="B153" s="3" t="s">
        <v>272</v>
      </c>
      <c r="C153" s="3" t="s">
        <v>246</v>
      </c>
      <c r="D153" s="3" t="s">
        <v>564</v>
      </c>
      <c r="E153" s="3" t="s">
        <v>58</v>
      </c>
      <c r="F153" s="3" t="s">
        <v>59</v>
      </c>
      <c r="G153" s="3" t="s">
        <v>60</v>
      </c>
      <c r="H153" s="3" t="s">
        <v>551</v>
      </c>
      <c r="I153" s="3"/>
      <c r="J153" s="3" t="s">
        <v>111</v>
      </c>
      <c r="K153" s="3" t="s">
        <v>30</v>
      </c>
      <c r="L153" s="3" t="s">
        <v>31</v>
      </c>
      <c r="M153" s="3" t="s">
        <v>90</v>
      </c>
      <c r="N153" s="3" t="s">
        <v>124</v>
      </c>
      <c r="O153" s="4" t="n">
        <v>44097</v>
      </c>
      <c r="P153" s="3" t="n">
        <f aca="false">ROUND((About!$B$3-O153)/365.25,1)</f>
        <v>6</v>
      </c>
      <c r="Q153" s="3" t="str">
        <f aca="false">IF(O153&gt;About!$B$4,"Yes","No")</f>
        <v>No</v>
      </c>
      <c r="R153" s="3" t="s">
        <v>546</v>
      </c>
      <c r="S153" s="3" t="str">
        <f aca="false">IF(R153="","",INDEX($B$2:$B$231,MATCH(R153,$A$2:$A$231,0))&amp;" "&amp;INDEX($C$2:$C$231,MATCH(R153,$A$2:$A$231,0)))</f>
        <v>Leila Reyes</v>
      </c>
      <c r="T153" s="3" t="s">
        <v>34</v>
      </c>
      <c r="U153" s="3" t="str">
        <f aca="false">H153&amp;" | "&amp;G153</f>
        <v>Intellectual Property | Lawyer - Junior</v>
      </c>
    </row>
    <row r="154" customFormat="false" ht="15" hidden="false" customHeight="true" outlineLevel="0" collapsed="false">
      <c r="A154" s="3" t="s">
        <v>565</v>
      </c>
      <c r="B154" s="3" t="s">
        <v>134</v>
      </c>
      <c r="C154" s="3" t="s">
        <v>184</v>
      </c>
      <c r="D154" s="3" t="s">
        <v>566</v>
      </c>
      <c r="E154" s="3" t="s">
        <v>116</v>
      </c>
      <c r="F154" s="3" t="s">
        <v>117</v>
      </c>
      <c r="G154" s="3" t="s">
        <v>118</v>
      </c>
      <c r="H154" s="3" t="s">
        <v>551</v>
      </c>
      <c r="I154" s="3"/>
      <c r="J154" s="3" t="s">
        <v>29</v>
      </c>
      <c r="K154" s="3" t="s">
        <v>30</v>
      </c>
      <c r="L154" s="3" t="s">
        <v>31</v>
      </c>
      <c r="M154" s="3" t="s">
        <v>32</v>
      </c>
      <c r="N154" s="3" t="s">
        <v>33</v>
      </c>
      <c r="O154" s="4" t="n">
        <v>45933</v>
      </c>
      <c r="P154" s="3" t="n">
        <f aca="false">ROUND((About!$B$3-O154)/365.25,1)</f>
        <v>0.9</v>
      </c>
      <c r="Q154" s="3" t="str">
        <f aca="false">IF(O154&gt;About!$B$4,"Yes","No")</f>
        <v>Yes</v>
      </c>
      <c r="R154" s="3" t="s">
        <v>546</v>
      </c>
      <c r="S154" s="3" t="str">
        <f aca="false">IF(R154="","",INDEX($B$2:$B$231,MATCH(R154,$A$2:$A$231,0))&amp;" "&amp;INDEX($C$2:$C$231,MATCH(R154,$A$2:$A$231,0)))</f>
        <v>Leila Reyes</v>
      </c>
      <c r="T154" s="3" t="s">
        <v>34</v>
      </c>
      <c r="U154" s="3" t="str">
        <f aca="false">H154&amp;" | "&amp;G154</f>
        <v>Intellectual Property | Lawyer - Senior</v>
      </c>
    </row>
    <row r="155" customFormat="false" ht="15" hidden="false" customHeight="true" outlineLevel="0" collapsed="false">
      <c r="A155" s="3" t="s">
        <v>567</v>
      </c>
      <c r="B155" s="3" t="s">
        <v>200</v>
      </c>
      <c r="C155" s="3" t="s">
        <v>568</v>
      </c>
      <c r="D155" s="3" t="s">
        <v>569</v>
      </c>
      <c r="E155" s="3" t="s">
        <v>72</v>
      </c>
      <c r="F155" s="3" t="s">
        <v>73</v>
      </c>
      <c r="G155" s="3" t="s">
        <v>74</v>
      </c>
      <c r="H155" s="3" t="s">
        <v>551</v>
      </c>
      <c r="I155" s="3"/>
      <c r="J155" s="3" t="s">
        <v>29</v>
      </c>
      <c r="K155" s="3" t="s">
        <v>30</v>
      </c>
      <c r="L155" s="3" t="s">
        <v>31</v>
      </c>
      <c r="M155" s="3" t="s">
        <v>32</v>
      </c>
      <c r="N155" s="3" t="s">
        <v>33</v>
      </c>
      <c r="O155" s="4" t="n">
        <v>41871</v>
      </c>
      <c r="P155" s="3" t="n">
        <f aca="false">ROUND((About!$B$3-O155)/365.25,1)</f>
        <v>12.1</v>
      </c>
      <c r="Q155" s="3" t="str">
        <f aca="false">IF(O155&gt;About!$B$4,"Yes","No")</f>
        <v>No</v>
      </c>
      <c r="R155" s="3" t="s">
        <v>546</v>
      </c>
      <c r="S155" s="3" t="str">
        <f aca="false">IF(R155="","",INDEX($B$2:$B$231,MATCH(R155,$A$2:$A$231,0))&amp;" "&amp;INDEX($C$2:$C$231,MATCH(R155,$A$2:$A$231,0)))</f>
        <v>Leila Reyes</v>
      </c>
      <c r="T155" s="3" t="s">
        <v>34</v>
      </c>
      <c r="U155" s="3" t="str">
        <f aca="false">H155&amp;" | "&amp;G155</f>
        <v>Intellectual Property | Lawyer - Mid</v>
      </c>
    </row>
    <row r="156" customFormat="false" ht="15" hidden="false" customHeight="true" outlineLevel="0" collapsed="false">
      <c r="A156" s="3" t="s">
        <v>570</v>
      </c>
      <c r="B156" s="3" t="s">
        <v>300</v>
      </c>
      <c r="C156" s="3" t="s">
        <v>169</v>
      </c>
      <c r="D156" s="3" t="s">
        <v>571</v>
      </c>
      <c r="E156" s="3" t="s">
        <v>58</v>
      </c>
      <c r="F156" s="3" t="s">
        <v>59</v>
      </c>
      <c r="G156" s="3" t="s">
        <v>60</v>
      </c>
      <c r="H156" s="3" t="s">
        <v>551</v>
      </c>
      <c r="I156" s="3"/>
      <c r="J156" s="3" t="s">
        <v>29</v>
      </c>
      <c r="K156" s="3" t="s">
        <v>30</v>
      </c>
      <c r="L156" s="3" t="s">
        <v>31</v>
      </c>
      <c r="M156" s="3" t="s">
        <v>32</v>
      </c>
      <c r="N156" s="3" t="s">
        <v>33</v>
      </c>
      <c r="O156" s="4" t="n">
        <v>45186</v>
      </c>
      <c r="P156" s="3" t="n">
        <f aca="false">ROUND((About!$B$3-O156)/365.25,1)</f>
        <v>3</v>
      </c>
      <c r="Q156" s="3" t="str">
        <f aca="false">IF(O156&gt;About!$B$4,"Yes","No")</f>
        <v>No</v>
      </c>
      <c r="R156" s="3" t="s">
        <v>546</v>
      </c>
      <c r="S156" s="3" t="str">
        <f aca="false">IF(R156="","",INDEX($B$2:$B$231,MATCH(R156,$A$2:$A$231,0))&amp;" "&amp;INDEX($C$2:$C$231,MATCH(R156,$A$2:$A$231,0)))</f>
        <v>Leila Reyes</v>
      </c>
      <c r="T156" s="3" t="s">
        <v>34</v>
      </c>
      <c r="U156" s="3" t="str">
        <f aca="false">H156&amp;" | "&amp;G156</f>
        <v>Intellectual Property | Lawyer - Junior</v>
      </c>
    </row>
    <row r="157" customFormat="false" ht="15" hidden="false" customHeight="true" outlineLevel="0" collapsed="false">
      <c r="A157" s="3" t="s">
        <v>572</v>
      </c>
      <c r="B157" s="3" t="s">
        <v>260</v>
      </c>
      <c r="C157" s="3" t="s">
        <v>290</v>
      </c>
      <c r="D157" s="3" t="s">
        <v>573</v>
      </c>
      <c r="E157" s="3" t="s">
        <v>72</v>
      </c>
      <c r="F157" s="3" t="s">
        <v>73</v>
      </c>
      <c r="G157" s="3" t="s">
        <v>74</v>
      </c>
      <c r="H157" s="3" t="s">
        <v>551</v>
      </c>
      <c r="I157" s="3"/>
      <c r="J157" s="3" t="s">
        <v>123</v>
      </c>
      <c r="K157" s="3" t="s">
        <v>30</v>
      </c>
      <c r="L157" s="3" t="s">
        <v>31</v>
      </c>
      <c r="M157" s="3" t="s">
        <v>90</v>
      </c>
      <c r="N157" s="3" t="s">
        <v>33</v>
      </c>
      <c r="O157" s="4" t="n">
        <v>44492</v>
      </c>
      <c r="P157" s="3" t="n">
        <f aca="false">ROUND((About!$B$3-O157)/365.25,1)</f>
        <v>4.9</v>
      </c>
      <c r="Q157" s="3" t="str">
        <f aca="false">IF(O157&gt;About!$B$4,"Yes","No")</f>
        <v>No</v>
      </c>
      <c r="R157" s="3" t="s">
        <v>546</v>
      </c>
      <c r="S157" s="3" t="str">
        <f aca="false">IF(R157="","",INDEX($B$2:$B$231,MATCH(R157,$A$2:$A$231,0))&amp;" "&amp;INDEX($C$2:$C$231,MATCH(R157,$A$2:$A$231,0)))</f>
        <v>Leila Reyes</v>
      </c>
      <c r="T157" s="3" t="s">
        <v>34</v>
      </c>
      <c r="U157" s="3" t="str">
        <f aca="false">H157&amp;" | "&amp;G157</f>
        <v>Intellectual Property | Lawyer - Mid</v>
      </c>
    </row>
    <row r="158" customFormat="false" ht="15" hidden="false" customHeight="true" outlineLevel="0" collapsed="false">
      <c r="A158" s="3" t="s">
        <v>574</v>
      </c>
      <c r="B158" s="3" t="s">
        <v>502</v>
      </c>
      <c r="C158" s="3" t="s">
        <v>269</v>
      </c>
      <c r="D158" s="3" t="s">
        <v>575</v>
      </c>
      <c r="E158" s="3" t="s">
        <v>116</v>
      </c>
      <c r="F158" s="3" t="s">
        <v>117</v>
      </c>
      <c r="G158" s="3" t="s">
        <v>118</v>
      </c>
      <c r="H158" s="3" t="s">
        <v>551</v>
      </c>
      <c r="I158" s="3"/>
      <c r="J158" s="3" t="s">
        <v>29</v>
      </c>
      <c r="K158" s="3" t="s">
        <v>30</v>
      </c>
      <c r="L158" s="3" t="s">
        <v>31</v>
      </c>
      <c r="M158" s="3" t="s">
        <v>32</v>
      </c>
      <c r="N158" s="3" t="s">
        <v>33</v>
      </c>
      <c r="O158" s="4" t="n">
        <v>41368</v>
      </c>
      <c r="P158" s="3" t="n">
        <f aca="false">ROUND((About!$B$3-O158)/365.25,1)</f>
        <v>13.4</v>
      </c>
      <c r="Q158" s="3" t="str">
        <f aca="false">IF(O158&gt;About!$B$4,"Yes","No")</f>
        <v>No</v>
      </c>
      <c r="R158" s="3" t="s">
        <v>546</v>
      </c>
      <c r="S158" s="3" t="str">
        <f aca="false">IF(R158="","",INDEX($B$2:$B$231,MATCH(R158,$A$2:$A$231,0))&amp;" "&amp;INDEX($C$2:$C$231,MATCH(R158,$A$2:$A$231,0)))</f>
        <v>Leila Reyes</v>
      </c>
      <c r="T158" s="3" t="s">
        <v>34</v>
      </c>
      <c r="U158" s="3" t="str">
        <f aca="false">H158&amp;" | "&amp;G158</f>
        <v>Intellectual Property | Lawyer - Senior</v>
      </c>
    </row>
    <row r="159" customFormat="false" ht="15" hidden="false" customHeight="true" outlineLevel="0" collapsed="false">
      <c r="A159" s="3" t="s">
        <v>576</v>
      </c>
      <c r="B159" s="3" t="s">
        <v>577</v>
      </c>
      <c r="C159" s="3" t="s">
        <v>181</v>
      </c>
      <c r="D159" s="3" t="s">
        <v>578</v>
      </c>
      <c r="E159" s="3" t="s">
        <v>58</v>
      </c>
      <c r="F159" s="3" t="s">
        <v>59</v>
      </c>
      <c r="G159" s="3" t="s">
        <v>60</v>
      </c>
      <c r="H159" s="3" t="s">
        <v>551</v>
      </c>
      <c r="I159" s="3"/>
      <c r="J159" s="3" t="s">
        <v>95</v>
      </c>
      <c r="K159" s="3" t="s">
        <v>30</v>
      </c>
      <c r="L159" s="3" t="s">
        <v>31</v>
      </c>
      <c r="M159" s="3" t="s">
        <v>90</v>
      </c>
      <c r="N159" s="3" t="s">
        <v>33</v>
      </c>
      <c r="O159" s="4" t="n">
        <v>45616</v>
      </c>
      <c r="P159" s="3" t="n">
        <f aca="false">ROUND((About!$B$3-O159)/365.25,1)</f>
        <v>1.8</v>
      </c>
      <c r="Q159" s="3" t="str">
        <f aca="false">IF(O159&gt;About!$B$4,"Yes","No")</f>
        <v>Yes</v>
      </c>
      <c r="R159" s="3" t="s">
        <v>546</v>
      </c>
      <c r="S159" s="3" t="str">
        <f aca="false">IF(R159="","",INDEX($B$2:$B$231,MATCH(R159,$A$2:$A$231,0))&amp;" "&amp;INDEX($C$2:$C$231,MATCH(R159,$A$2:$A$231,0)))</f>
        <v>Leila Reyes</v>
      </c>
      <c r="T159" s="3" t="s">
        <v>34</v>
      </c>
      <c r="U159" s="3" t="str">
        <f aca="false">H159&amp;" | "&amp;G159</f>
        <v>Intellectual Property | Lawyer - Junior</v>
      </c>
    </row>
    <row r="160" customFormat="false" ht="15" hidden="false" customHeight="true" outlineLevel="0" collapsed="false">
      <c r="A160" s="3" t="s">
        <v>579</v>
      </c>
      <c r="B160" s="3" t="s">
        <v>311</v>
      </c>
      <c r="C160" s="3" t="s">
        <v>314</v>
      </c>
      <c r="D160" s="3" t="s">
        <v>580</v>
      </c>
      <c r="E160" s="3" t="s">
        <v>581</v>
      </c>
      <c r="F160" s="3" t="s">
        <v>195</v>
      </c>
      <c r="G160" s="3" t="s">
        <v>196</v>
      </c>
      <c r="H160" s="3" t="s">
        <v>551</v>
      </c>
      <c r="I160" s="3" t="s">
        <v>582</v>
      </c>
      <c r="J160" s="3" t="s">
        <v>123</v>
      </c>
      <c r="K160" s="3" t="s">
        <v>30</v>
      </c>
      <c r="L160" s="3" t="s">
        <v>31</v>
      </c>
      <c r="M160" s="3" t="s">
        <v>90</v>
      </c>
      <c r="N160" s="3" t="s">
        <v>42</v>
      </c>
      <c r="O160" s="4" t="n">
        <v>43925</v>
      </c>
      <c r="P160" s="3" t="n">
        <f aca="false">ROUND((About!$B$3-O160)/365.25,1)</f>
        <v>6.4</v>
      </c>
      <c r="Q160" s="3" t="str">
        <f aca="false">IF(O160&gt;About!$B$4,"Yes","No")</f>
        <v>No</v>
      </c>
      <c r="R160" s="3" t="s">
        <v>546</v>
      </c>
      <c r="S160" s="3" t="str">
        <f aca="false">IF(R160="","",INDEX($B$2:$B$231,MATCH(R160,$A$2:$A$231,0))&amp;" "&amp;INDEX($C$2:$C$231,MATCH(R160,$A$2:$A$231,0)))</f>
        <v>Leila Reyes</v>
      </c>
      <c r="T160" s="3" t="s">
        <v>34</v>
      </c>
      <c r="U160" s="3" t="str">
        <f aca="false">H160&amp;" | "&amp;G160</f>
        <v>Intellectual Property | Paraprofessional</v>
      </c>
    </row>
    <row r="161" customFormat="false" ht="15" hidden="false" customHeight="true" outlineLevel="0" collapsed="false">
      <c r="A161" s="3" t="s">
        <v>583</v>
      </c>
      <c r="B161" s="3" t="s">
        <v>319</v>
      </c>
      <c r="C161" s="3" t="s">
        <v>216</v>
      </c>
      <c r="D161" s="3" t="s">
        <v>584</v>
      </c>
      <c r="E161" s="3" t="s">
        <v>581</v>
      </c>
      <c r="F161" s="3" t="s">
        <v>195</v>
      </c>
      <c r="G161" s="3" t="s">
        <v>196</v>
      </c>
      <c r="H161" s="3" t="s">
        <v>551</v>
      </c>
      <c r="I161" s="3" t="s">
        <v>582</v>
      </c>
      <c r="J161" s="3" t="s">
        <v>29</v>
      </c>
      <c r="K161" s="3" t="s">
        <v>30</v>
      </c>
      <c r="L161" s="3" t="s">
        <v>31</v>
      </c>
      <c r="M161" s="3" t="s">
        <v>32</v>
      </c>
      <c r="N161" s="3" t="s">
        <v>33</v>
      </c>
      <c r="O161" s="4" t="n">
        <v>38399</v>
      </c>
      <c r="P161" s="3" t="n">
        <f aca="false">ROUND((About!$B$3-O161)/365.25,1)</f>
        <v>21.6</v>
      </c>
      <c r="Q161" s="3" t="str">
        <f aca="false">IF(O161&gt;About!$B$4,"Yes","No")</f>
        <v>No</v>
      </c>
      <c r="R161" s="3" t="s">
        <v>546</v>
      </c>
      <c r="S161" s="3" t="str">
        <f aca="false">IF(R161="","",INDEX($B$2:$B$231,MATCH(R161,$A$2:$A$231,0))&amp;" "&amp;INDEX($C$2:$C$231,MATCH(R161,$A$2:$A$231,0)))</f>
        <v>Leila Reyes</v>
      </c>
      <c r="T161" s="3" t="s">
        <v>34</v>
      </c>
      <c r="U161" s="3" t="str">
        <f aca="false">H161&amp;" | "&amp;G161</f>
        <v>Intellectual Property | Paraprofessional</v>
      </c>
    </row>
    <row r="162" customFormat="false" ht="15" hidden="false" customHeight="true" outlineLevel="0" collapsed="false">
      <c r="A162" s="3" t="s">
        <v>585</v>
      </c>
      <c r="B162" s="3" t="s">
        <v>22</v>
      </c>
      <c r="C162" s="3" t="s">
        <v>297</v>
      </c>
      <c r="D162" s="3" t="s">
        <v>586</v>
      </c>
      <c r="E162" s="3" t="s">
        <v>581</v>
      </c>
      <c r="F162" s="3" t="s">
        <v>195</v>
      </c>
      <c r="G162" s="3" t="s">
        <v>196</v>
      </c>
      <c r="H162" s="3" t="s">
        <v>551</v>
      </c>
      <c r="I162" s="3" t="s">
        <v>582</v>
      </c>
      <c r="J162" s="3" t="s">
        <v>29</v>
      </c>
      <c r="K162" s="3" t="s">
        <v>30</v>
      </c>
      <c r="L162" s="3" t="s">
        <v>31</v>
      </c>
      <c r="M162" s="3" t="s">
        <v>32</v>
      </c>
      <c r="N162" s="3" t="s">
        <v>42</v>
      </c>
      <c r="O162" s="4" t="n">
        <v>42325</v>
      </c>
      <c r="P162" s="3" t="n">
        <f aca="false">ROUND((About!$B$3-O162)/365.25,1)</f>
        <v>10.8</v>
      </c>
      <c r="Q162" s="3" t="str">
        <f aca="false">IF(O162&gt;About!$B$4,"Yes","No")</f>
        <v>No</v>
      </c>
      <c r="R162" s="3" t="s">
        <v>546</v>
      </c>
      <c r="S162" s="3" t="str">
        <f aca="false">IF(R162="","",INDEX($B$2:$B$231,MATCH(R162,$A$2:$A$231,0))&amp;" "&amp;INDEX($C$2:$C$231,MATCH(R162,$A$2:$A$231,0)))</f>
        <v>Leila Reyes</v>
      </c>
      <c r="T162" s="3" t="s">
        <v>34</v>
      </c>
      <c r="U162" s="3" t="str">
        <f aca="false">H162&amp;" | "&amp;G162</f>
        <v>Intellectual Property | Paraprofessional</v>
      </c>
    </row>
    <row r="163" customFormat="false" ht="15" hidden="false" customHeight="true" outlineLevel="0" collapsed="false">
      <c r="A163" s="3" t="s">
        <v>587</v>
      </c>
      <c r="B163" s="3" t="s">
        <v>588</v>
      </c>
      <c r="C163" s="3" t="s">
        <v>155</v>
      </c>
      <c r="D163" s="3" t="s">
        <v>589</v>
      </c>
      <c r="E163" s="3" t="s">
        <v>39</v>
      </c>
      <c r="F163" s="3" t="s">
        <v>40</v>
      </c>
      <c r="G163" s="3" t="s">
        <v>39</v>
      </c>
      <c r="H163" s="3" t="s">
        <v>551</v>
      </c>
      <c r="I163" s="3" t="s">
        <v>41</v>
      </c>
      <c r="J163" s="3" t="s">
        <v>29</v>
      </c>
      <c r="K163" s="3" t="s">
        <v>30</v>
      </c>
      <c r="L163" s="3" t="s">
        <v>31</v>
      </c>
      <c r="M163" s="3" t="s">
        <v>32</v>
      </c>
      <c r="N163" s="3" t="s">
        <v>33</v>
      </c>
      <c r="O163" s="4" t="n">
        <v>41814</v>
      </c>
      <c r="P163" s="3" t="n">
        <f aca="false">ROUND((About!$B$3-O163)/365.25,1)</f>
        <v>12.2</v>
      </c>
      <c r="Q163" s="3" t="str">
        <f aca="false">IF(O163&gt;About!$B$4,"Yes","No")</f>
        <v>No</v>
      </c>
      <c r="R163" s="3" t="s">
        <v>546</v>
      </c>
      <c r="S163" s="3" t="str">
        <f aca="false">IF(R163="","",INDEX($B$2:$B$231,MATCH(R163,$A$2:$A$231,0))&amp;" "&amp;INDEX($C$2:$C$231,MATCH(R163,$A$2:$A$231,0)))</f>
        <v>Leila Reyes</v>
      </c>
      <c r="T163" s="3" t="s">
        <v>34</v>
      </c>
      <c r="U163" s="3" t="str">
        <f aca="false">H163&amp;" | "&amp;G163</f>
        <v>Intellectual Property | Executive Assistant</v>
      </c>
    </row>
    <row r="164" customFormat="false" ht="15" hidden="false" customHeight="true" outlineLevel="0" collapsed="false">
      <c r="A164" s="3" t="s">
        <v>590</v>
      </c>
      <c r="B164" s="3" t="s">
        <v>382</v>
      </c>
      <c r="C164" s="3" t="s">
        <v>591</v>
      </c>
      <c r="D164" s="3" t="s">
        <v>592</v>
      </c>
      <c r="E164" s="3" t="s">
        <v>593</v>
      </c>
      <c r="F164" s="3" t="s">
        <v>52</v>
      </c>
      <c r="G164" s="3" t="s">
        <v>27</v>
      </c>
      <c r="H164" s="3" t="s">
        <v>594</v>
      </c>
      <c r="I164" s="3"/>
      <c r="J164" s="3" t="s">
        <v>61</v>
      </c>
      <c r="K164" s="3" t="s">
        <v>62</v>
      </c>
      <c r="L164" s="3" t="s">
        <v>63</v>
      </c>
      <c r="M164" s="3" t="s">
        <v>64</v>
      </c>
      <c r="N164" s="3" t="s">
        <v>124</v>
      </c>
      <c r="O164" s="4" t="n">
        <v>42113</v>
      </c>
      <c r="P164" s="3" t="n">
        <f aca="false">ROUND((About!$B$3-O164)/365.25,1)</f>
        <v>11.4</v>
      </c>
      <c r="Q164" s="3" t="str">
        <f aca="false">IF(O164&gt;About!$B$4,"Yes","No")</f>
        <v>No</v>
      </c>
      <c r="R164" s="3" t="s">
        <v>21</v>
      </c>
      <c r="S164" s="3" t="str">
        <f aca="false">IF(R164="","",INDEX($B$2:$B$231,MATCH(R164,$A$2:$A$231,0))&amp;" "&amp;INDEX($C$2:$C$231,MATCH(R164,$A$2:$A$231,0)))</f>
        <v>Simon Rasmussen</v>
      </c>
      <c r="T164" s="3" t="s">
        <v>34</v>
      </c>
      <c r="U164" s="3" t="str">
        <f aca="false">H164&amp;" | "&amp;G164</f>
        <v>Privacy &amp; Data Protection | Lawyer - Leadership</v>
      </c>
    </row>
    <row r="165" customFormat="false" ht="15" hidden="false" customHeight="true" outlineLevel="0" collapsed="false">
      <c r="A165" s="3" t="s">
        <v>595</v>
      </c>
      <c r="B165" s="3" t="s">
        <v>596</v>
      </c>
      <c r="C165" s="3" t="s">
        <v>442</v>
      </c>
      <c r="D165" s="3" t="s">
        <v>597</v>
      </c>
      <c r="E165" s="3" t="s">
        <v>58</v>
      </c>
      <c r="F165" s="3" t="s">
        <v>59</v>
      </c>
      <c r="G165" s="3" t="s">
        <v>60</v>
      </c>
      <c r="H165" s="3" t="s">
        <v>594</v>
      </c>
      <c r="I165" s="3"/>
      <c r="J165" s="3" t="s">
        <v>61</v>
      </c>
      <c r="K165" s="3" t="s">
        <v>62</v>
      </c>
      <c r="L165" s="3" t="s">
        <v>63</v>
      </c>
      <c r="M165" s="3" t="s">
        <v>64</v>
      </c>
      <c r="N165" s="3" t="s">
        <v>33</v>
      </c>
      <c r="O165" s="4" t="n">
        <v>40969</v>
      </c>
      <c r="P165" s="3" t="n">
        <f aca="false">ROUND((About!$B$3-O165)/365.25,1)</f>
        <v>14.5</v>
      </c>
      <c r="Q165" s="3" t="str">
        <f aca="false">IF(O165&gt;About!$B$4,"Yes","No")</f>
        <v>No</v>
      </c>
      <c r="R165" s="3" t="s">
        <v>590</v>
      </c>
      <c r="S165" s="3" t="str">
        <f aca="false">IF(R165="","",INDEX($B$2:$B$231,MATCH(R165,$A$2:$A$231,0))&amp;" "&amp;INDEX($C$2:$C$231,MATCH(R165,$A$2:$A$231,0)))</f>
        <v>Esme Marchetti</v>
      </c>
      <c r="T165" s="3" t="s">
        <v>34</v>
      </c>
      <c r="U165" s="3" t="str">
        <f aca="false">H165&amp;" | "&amp;G165</f>
        <v>Privacy &amp; Data Protection | Lawyer - Junior</v>
      </c>
    </row>
    <row r="166" customFormat="false" ht="15" hidden="false" customHeight="true" outlineLevel="0" collapsed="false">
      <c r="A166" s="3" t="s">
        <v>598</v>
      </c>
      <c r="B166" s="3" t="s">
        <v>55</v>
      </c>
      <c r="C166" s="3" t="s">
        <v>599</v>
      </c>
      <c r="D166" s="3" t="s">
        <v>600</v>
      </c>
      <c r="E166" s="3" t="s">
        <v>58</v>
      </c>
      <c r="F166" s="3" t="s">
        <v>59</v>
      </c>
      <c r="G166" s="3" t="s">
        <v>60</v>
      </c>
      <c r="H166" s="3" t="s">
        <v>594</v>
      </c>
      <c r="I166" s="3"/>
      <c r="J166" s="3" t="s">
        <v>485</v>
      </c>
      <c r="K166" s="3" t="s">
        <v>486</v>
      </c>
      <c r="L166" s="3" t="s">
        <v>63</v>
      </c>
      <c r="M166" s="3" t="s">
        <v>64</v>
      </c>
      <c r="N166" s="3" t="s">
        <v>33</v>
      </c>
      <c r="O166" s="4" t="n">
        <v>38074</v>
      </c>
      <c r="P166" s="3" t="n">
        <f aca="false">ROUND((About!$B$3-O166)/365.25,1)</f>
        <v>22.5</v>
      </c>
      <c r="Q166" s="3" t="str">
        <f aca="false">IF(O166&gt;About!$B$4,"Yes","No")</f>
        <v>No</v>
      </c>
      <c r="R166" s="3" t="s">
        <v>590</v>
      </c>
      <c r="S166" s="3" t="str">
        <f aca="false">IF(R166="","",INDEX($B$2:$B$231,MATCH(R166,$A$2:$A$231,0))&amp;" "&amp;INDEX($C$2:$C$231,MATCH(R166,$A$2:$A$231,0)))</f>
        <v>Esme Marchetti</v>
      </c>
      <c r="T166" s="3" t="s">
        <v>34</v>
      </c>
      <c r="U166" s="3" t="str">
        <f aca="false">H166&amp;" | "&amp;G166</f>
        <v>Privacy &amp; Data Protection | Lawyer - Junior</v>
      </c>
    </row>
    <row r="167" customFormat="false" ht="15" hidden="false" customHeight="true" outlineLevel="0" collapsed="false">
      <c r="A167" s="3" t="s">
        <v>601</v>
      </c>
      <c r="B167" s="3" t="s">
        <v>602</v>
      </c>
      <c r="C167" s="3" t="s">
        <v>603</v>
      </c>
      <c r="D167" s="3" t="s">
        <v>604</v>
      </c>
      <c r="E167" s="3" t="s">
        <v>72</v>
      </c>
      <c r="F167" s="3" t="s">
        <v>73</v>
      </c>
      <c r="G167" s="3" t="s">
        <v>74</v>
      </c>
      <c r="H167" s="3" t="s">
        <v>594</v>
      </c>
      <c r="I167" s="3"/>
      <c r="J167" s="3" t="s">
        <v>485</v>
      </c>
      <c r="K167" s="3" t="s">
        <v>486</v>
      </c>
      <c r="L167" s="3" t="s">
        <v>63</v>
      </c>
      <c r="M167" s="3" t="s">
        <v>64</v>
      </c>
      <c r="N167" s="3" t="s">
        <v>33</v>
      </c>
      <c r="O167" s="4" t="n">
        <v>44363</v>
      </c>
      <c r="P167" s="3" t="n">
        <f aca="false">ROUND((About!$B$3-O167)/365.25,1)</f>
        <v>5.2</v>
      </c>
      <c r="Q167" s="3" t="str">
        <f aca="false">IF(O167&gt;About!$B$4,"Yes","No")</f>
        <v>No</v>
      </c>
      <c r="R167" s="3" t="s">
        <v>590</v>
      </c>
      <c r="S167" s="3" t="str">
        <f aca="false">IF(R167="","",INDEX($B$2:$B$231,MATCH(R167,$A$2:$A$231,0))&amp;" "&amp;INDEX($C$2:$C$231,MATCH(R167,$A$2:$A$231,0)))</f>
        <v>Esme Marchetti</v>
      </c>
      <c r="T167" s="3" t="s">
        <v>34</v>
      </c>
      <c r="U167" s="3" t="str">
        <f aca="false">H167&amp;" | "&amp;G167</f>
        <v>Privacy &amp; Data Protection | Lawyer - Mid</v>
      </c>
    </row>
    <row r="168" customFormat="false" ht="15" hidden="false" customHeight="true" outlineLevel="0" collapsed="false">
      <c r="A168" s="3" t="s">
        <v>605</v>
      </c>
      <c r="B168" s="3" t="s">
        <v>441</v>
      </c>
      <c r="C168" s="3" t="s">
        <v>606</v>
      </c>
      <c r="D168" s="3" t="s">
        <v>607</v>
      </c>
      <c r="E168" s="3" t="s">
        <v>72</v>
      </c>
      <c r="F168" s="3" t="s">
        <v>73</v>
      </c>
      <c r="G168" s="3" t="s">
        <v>74</v>
      </c>
      <c r="H168" s="3" t="s">
        <v>594</v>
      </c>
      <c r="I168" s="3"/>
      <c r="J168" s="3" t="s">
        <v>61</v>
      </c>
      <c r="K168" s="3" t="s">
        <v>62</v>
      </c>
      <c r="L168" s="3" t="s">
        <v>63</v>
      </c>
      <c r="M168" s="3" t="s">
        <v>64</v>
      </c>
      <c r="N168" s="3" t="s">
        <v>42</v>
      </c>
      <c r="O168" s="4" t="n">
        <v>44879</v>
      </c>
      <c r="P168" s="3" t="n">
        <f aca="false">ROUND((About!$B$3-O168)/365.25,1)</f>
        <v>3.8</v>
      </c>
      <c r="Q168" s="3" t="str">
        <f aca="false">IF(O168&gt;About!$B$4,"Yes","No")</f>
        <v>No</v>
      </c>
      <c r="R168" s="3" t="s">
        <v>590</v>
      </c>
      <c r="S168" s="3" t="str">
        <f aca="false">IF(R168="","",INDEX($B$2:$B$231,MATCH(R168,$A$2:$A$231,0))&amp;" "&amp;INDEX($C$2:$C$231,MATCH(R168,$A$2:$A$231,0)))</f>
        <v>Esme Marchetti</v>
      </c>
      <c r="T168" s="3" t="s">
        <v>34</v>
      </c>
      <c r="U168" s="3" t="str">
        <f aca="false">H168&amp;" | "&amp;G168</f>
        <v>Privacy &amp; Data Protection | Lawyer - Mid</v>
      </c>
    </row>
    <row r="169" customFormat="false" ht="15" hidden="false" customHeight="true" outlineLevel="0" collapsed="false">
      <c r="A169" s="3" t="s">
        <v>608</v>
      </c>
      <c r="B169" s="3" t="s">
        <v>609</v>
      </c>
      <c r="C169" s="3" t="s">
        <v>610</v>
      </c>
      <c r="D169" s="3" t="s">
        <v>611</v>
      </c>
      <c r="E169" s="3" t="s">
        <v>72</v>
      </c>
      <c r="F169" s="3" t="s">
        <v>73</v>
      </c>
      <c r="G169" s="3" t="s">
        <v>74</v>
      </c>
      <c r="H169" s="3" t="s">
        <v>594</v>
      </c>
      <c r="I169" s="3"/>
      <c r="J169" s="3" t="s">
        <v>485</v>
      </c>
      <c r="K169" s="3" t="s">
        <v>486</v>
      </c>
      <c r="L169" s="3" t="s">
        <v>63</v>
      </c>
      <c r="M169" s="3" t="s">
        <v>64</v>
      </c>
      <c r="N169" s="3" t="s">
        <v>33</v>
      </c>
      <c r="O169" s="4" t="n">
        <v>44921</v>
      </c>
      <c r="P169" s="3" t="n">
        <f aca="false">ROUND((About!$B$3-O169)/365.25,1)</f>
        <v>3.7</v>
      </c>
      <c r="Q169" s="3" t="str">
        <f aca="false">IF(O169&gt;About!$B$4,"Yes","No")</f>
        <v>No</v>
      </c>
      <c r="R169" s="3" t="s">
        <v>590</v>
      </c>
      <c r="S169" s="3" t="str">
        <f aca="false">IF(R169="","",INDEX($B$2:$B$231,MATCH(R169,$A$2:$A$231,0))&amp;" "&amp;INDEX($C$2:$C$231,MATCH(R169,$A$2:$A$231,0)))</f>
        <v>Esme Marchetti</v>
      </c>
      <c r="T169" s="3" t="s">
        <v>34</v>
      </c>
      <c r="U169" s="3" t="str">
        <f aca="false">H169&amp;" | "&amp;G169</f>
        <v>Privacy &amp; Data Protection | Lawyer - Mid</v>
      </c>
    </row>
    <row r="170" customFormat="false" ht="15" hidden="false" customHeight="true" outlineLevel="0" collapsed="false">
      <c r="A170" s="3" t="s">
        <v>612</v>
      </c>
      <c r="B170" s="3" t="s">
        <v>613</v>
      </c>
      <c r="C170" s="3" t="s">
        <v>614</v>
      </c>
      <c r="D170" s="3" t="s">
        <v>615</v>
      </c>
      <c r="E170" s="3" t="s">
        <v>58</v>
      </c>
      <c r="F170" s="3" t="s">
        <v>59</v>
      </c>
      <c r="G170" s="3" t="s">
        <v>60</v>
      </c>
      <c r="H170" s="3" t="s">
        <v>594</v>
      </c>
      <c r="I170" s="3"/>
      <c r="J170" s="3" t="s">
        <v>61</v>
      </c>
      <c r="K170" s="3" t="s">
        <v>62</v>
      </c>
      <c r="L170" s="3" t="s">
        <v>63</v>
      </c>
      <c r="M170" s="3" t="s">
        <v>64</v>
      </c>
      <c r="N170" s="3" t="s">
        <v>33</v>
      </c>
      <c r="O170" s="4" t="n">
        <v>42206</v>
      </c>
      <c r="P170" s="3" t="n">
        <f aca="false">ROUND((About!$B$3-O170)/365.25,1)</f>
        <v>11.1</v>
      </c>
      <c r="Q170" s="3" t="str">
        <f aca="false">IF(O170&gt;About!$B$4,"Yes","No")</f>
        <v>No</v>
      </c>
      <c r="R170" s="3" t="s">
        <v>590</v>
      </c>
      <c r="S170" s="3" t="str">
        <f aca="false">IF(R170="","",INDEX($B$2:$B$231,MATCH(R170,$A$2:$A$231,0))&amp;" "&amp;INDEX($C$2:$C$231,MATCH(R170,$A$2:$A$231,0)))</f>
        <v>Esme Marchetti</v>
      </c>
      <c r="T170" s="3" t="s">
        <v>34</v>
      </c>
      <c r="U170" s="3" t="str">
        <f aca="false">H170&amp;" | "&amp;G170</f>
        <v>Privacy &amp; Data Protection | Lawyer - Junior</v>
      </c>
    </row>
    <row r="171" customFormat="false" ht="15" hidden="false" customHeight="true" outlineLevel="0" collapsed="false">
      <c r="A171" s="3" t="s">
        <v>616</v>
      </c>
      <c r="B171" s="3" t="s">
        <v>602</v>
      </c>
      <c r="C171" s="3" t="s">
        <v>617</v>
      </c>
      <c r="D171" s="3" t="s">
        <v>618</v>
      </c>
      <c r="E171" s="3" t="s">
        <v>58</v>
      </c>
      <c r="F171" s="3" t="s">
        <v>59</v>
      </c>
      <c r="G171" s="3" t="s">
        <v>60</v>
      </c>
      <c r="H171" s="3" t="s">
        <v>594</v>
      </c>
      <c r="I171" s="3"/>
      <c r="J171" s="3" t="s">
        <v>485</v>
      </c>
      <c r="K171" s="3" t="s">
        <v>486</v>
      </c>
      <c r="L171" s="3" t="s">
        <v>63</v>
      </c>
      <c r="M171" s="3" t="s">
        <v>64</v>
      </c>
      <c r="N171" s="3" t="s">
        <v>124</v>
      </c>
      <c r="O171" s="4" t="n">
        <v>44054</v>
      </c>
      <c r="P171" s="3" t="n">
        <f aca="false">ROUND((About!$B$3-O171)/365.25,1)</f>
        <v>6.1</v>
      </c>
      <c r="Q171" s="3" t="str">
        <f aca="false">IF(O171&gt;About!$B$4,"Yes","No")</f>
        <v>No</v>
      </c>
      <c r="R171" s="3" t="s">
        <v>590</v>
      </c>
      <c r="S171" s="3" t="str">
        <f aca="false">IF(R171="","",INDEX($B$2:$B$231,MATCH(R171,$A$2:$A$231,0))&amp;" "&amp;INDEX($C$2:$C$231,MATCH(R171,$A$2:$A$231,0)))</f>
        <v>Esme Marchetti</v>
      </c>
      <c r="T171" s="3" t="s">
        <v>34</v>
      </c>
      <c r="U171" s="3" t="str">
        <f aca="false">H171&amp;" | "&amp;G171</f>
        <v>Privacy &amp; Data Protection | Lawyer - Junior</v>
      </c>
    </row>
    <row r="172" customFormat="false" ht="15" hidden="false" customHeight="true" outlineLevel="0" collapsed="false">
      <c r="A172" s="3" t="s">
        <v>619</v>
      </c>
      <c r="B172" s="3" t="s">
        <v>154</v>
      </c>
      <c r="C172" s="3" t="s">
        <v>599</v>
      </c>
      <c r="D172" s="3" t="s">
        <v>620</v>
      </c>
      <c r="E172" s="3" t="s">
        <v>116</v>
      </c>
      <c r="F172" s="3" t="s">
        <v>117</v>
      </c>
      <c r="G172" s="3" t="s">
        <v>118</v>
      </c>
      <c r="H172" s="3" t="s">
        <v>594</v>
      </c>
      <c r="I172" s="3"/>
      <c r="J172" s="3" t="s">
        <v>29</v>
      </c>
      <c r="K172" s="3" t="s">
        <v>30</v>
      </c>
      <c r="L172" s="3" t="s">
        <v>31</v>
      </c>
      <c r="M172" s="3" t="s">
        <v>32</v>
      </c>
      <c r="N172" s="3" t="s">
        <v>33</v>
      </c>
      <c r="O172" s="4" t="n">
        <v>45903</v>
      </c>
      <c r="P172" s="3" t="n">
        <f aca="false">ROUND((About!$B$3-O172)/365.25,1)</f>
        <v>1</v>
      </c>
      <c r="Q172" s="3" t="str">
        <f aca="false">IF(O172&gt;About!$B$4,"Yes","No")</f>
        <v>Yes</v>
      </c>
      <c r="R172" s="3" t="s">
        <v>590</v>
      </c>
      <c r="S172" s="3" t="str">
        <f aca="false">IF(R172="","",INDEX($B$2:$B$231,MATCH(R172,$A$2:$A$231,0))&amp;" "&amp;INDEX($C$2:$C$231,MATCH(R172,$A$2:$A$231,0)))</f>
        <v>Esme Marchetti</v>
      </c>
      <c r="T172" s="3" t="s">
        <v>34</v>
      </c>
      <c r="U172" s="3" t="str">
        <f aca="false">H172&amp;" | "&amp;G172</f>
        <v>Privacy &amp; Data Protection | Lawyer - Senior</v>
      </c>
    </row>
    <row r="173" customFormat="false" ht="15" hidden="false" customHeight="true" outlineLevel="0" collapsed="false">
      <c r="A173" s="3" t="s">
        <v>621</v>
      </c>
      <c r="B173" s="3" t="s">
        <v>502</v>
      </c>
      <c r="C173" s="3" t="s">
        <v>243</v>
      </c>
      <c r="D173" s="3" t="s">
        <v>622</v>
      </c>
      <c r="E173" s="3" t="s">
        <v>116</v>
      </c>
      <c r="F173" s="3" t="s">
        <v>117</v>
      </c>
      <c r="G173" s="3" t="s">
        <v>118</v>
      </c>
      <c r="H173" s="3" t="s">
        <v>594</v>
      </c>
      <c r="I173" s="3"/>
      <c r="J173" s="3" t="s">
        <v>29</v>
      </c>
      <c r="K173" s="3" t="s">
        <v>30</v>
      </c>
      <c r="L173" s="3" t="s">
        <v>31</v>
      </c>
      <c r="M173" s="3" t="s">
        <v>32</v>
      </c>
      <c r="N173" s="3" t="s">
        <v>33</v>
      </c>
      <c r="O173" s="4" t="n">
        <v>46073</v>
      </c>
      <c r="P173" s="3" t="n">
        <f aca="false">ROUND((About!$B$3-O173)/365.25,1)</f>
        <v>0.6</v>
      </c>
      <c r="Q173" s="3" t="str">
        <f aca="false">IF(O173&gt;About!$B$4,"Yes","No")</f>
        <v>Yes</v>
      </c>
      <c r="R173" s="3" t="s">
        <v>590</v>
      </c>
      <c r="S173" s="3" t="str">
        <f aca="false">IF(R173="","",INDEX($B$2:$B$231,MATCH(R173,$A$2:$A$231,0))&amp;" "&amp;INDEX($C$2:$C$231,MATCH(R173,$A$2:$A$231,0)))</f>
        <v>Esme Marchetti</v>
      </c>
      <c r="T173" s="3" t="s">
        <v>34</v>
      </c>
      <c r="U173" s="3" t="str">
        <f aca="false">H173&amp;" | "&amp;G173</f>
        <v>Privacy &amp; Data Protection | Lawyer - Senior</v>
      </c>
    </row>
    <row r="174" customFormat="false" ht="15" hidden="false" customHeight="true" outlineLevel="0" collapsed="false">
      <c r="A174" s="3" t="s">
        <v>623</v>
      </c>
      <c r="B174" s="3" t="s">
        <v>238</v>
      </c>
      <c r="C174" s="3" t="s">
        <v>347</v>
      </c>
      <c r="D174" s="3" t="s">
        <v>624</v>
      </c>
      <c r="E174" s="3" t="s">
        <v>72</v>
      </c>
      <c r="F174" s="3" t="s">
        <v>73</v>
      </c>
      <c r="G174" s="3" t="s">
        <v>74</v>
      </c>
      <c r="H174" s="3" t="s">
        <v>594</v>
      </c>
      <c r="I174" s="3"/>
      <c r="J174" s="3" t="s">
        <v>29</v>
      </c>
      <c r="K174" s="3" t="s">
        <v>30</v>
      </c>
      <c r="L174" s="3" t="s">
        <v>31</v>
      </c>
      <c r="M174" s="3" t="s">
        <v>32</v>
      </c>
      <c r="N174" s="3" t="s">
        <v>33</v>
      </c>
      <c r="O174" s="4" t="n">
        <v>43410</v>
      </c>
      <c r="P174" s="3" t="n">
        <f aca="false">ROUND((About!$B$3-O174)/365.25,1)</f>
        <v>7.8</v>
      </c>
      <c r="Q174" s="3" t="str">
        <f aca="false">IF(O174&gt;About!$B$4,"Yes","No")</f>
        <v>No</v>
      </c>
      <c r="R174" s="3" t="s">
        <v>590</v>
      </c>
      <c r="S174" s="3" t="str">
        <f aca="false">IF(R174="","",INDEX($B$2:$B$231,MATCH(R174,$A$2:$A$231,0))&amp;" "&amp;INDEX($C$2:$C$231,MATCH(R174,$A$2:$A$231,0)))</f>
        <v>Esme Marchetti</v>
      </c>
      <c r="T174" s="3" t="s">
        <v>34</v>
      </c>
      <c r="U174" s="3" t="str">
        <f aca="false">H174&amp;" | "&amp;G174</f>
        <v>Privacy &amp; Data Protection | Lawyer - Mid</v>
      </c>
    </row>
    <row r="175" customFormat="false" ht="15" hidden="false" customHeight="true" outlineLevel="0" collapsed="false">
      <c r="A175" s="3" t="s">
        <v>625</v>
      </c>
      <c r="B175" s="3" t="s">
        <v>479</v>
      </c>
      <c r="C175" s="3" t="s">
        <v>626</v>
      </c>
      <c r="D175" s="3" t="s">
        <v>627</v>
      </c>
      <c r="E175" s="3" t="s">
        <v>72</v>
      </c>
      <c r="F175" s="3" t="s">
        <v>73</v>
      </c>
      <c r="G175" s="3" t="s">
        <v>74</v>
      </c>
      <c r="H175" s="3" t="s">
        <v>594</v>
      </c>
      <c r="I175" s="3"/>
      <c r="J175" s="3" t="s">
        <v>111</v>
      </c>
      <c r="K175" s="3" t="s">
        <v>30</v>
      </c>
      <c r="L175" s="3" t="s">
        <v>31</v>
      </c>
      <c r="M175" s="3" t="s">
        <v>90</v>
      </c>
      <c r="N175" s="3" t="s">
        <v>42</v>
      </c>
      <c r="O175" s="4" t="n">
        <v>44871</v>
      </c>
      <c r="P175" s="3" t="n">
        <f aca="false">ROUND((About!$B$3-O175)/365.25,1)</f>
        <v>3.8</v>
      </c>
      <c r="Q175" s="3" t="str">
        <f aca="false">IF(O175&gt;About!$B$4,"Yes","No")</f>
        <v>No</v>
      </c>
      <c r="R175" s="3" t="s">
        <v>590</v>
      </c>
      <c r="S175" s="3" t="str">
        <f aca="false">IF(R175="","",INDEX($B$2:$B$231,MATCH(R175,$A$2:$A$231,0))&amp;" "&amp;INDEX($C$2:$C$231,MATCH(R175,$A$2:$A$231,0)))</f>
        <v>Esme Marchetti</v>
      </c>
      <c r="T175" s="3" t="s">
        <v>34</v>
      </c>
      <c r="U175" s="3" t="str">
        <f aca="false">H175&amp;" | "&amp;G175</f>
        <v>Privacy &amp; Data Protection | Lawyer - Mid</v>
      </c>
    </row>
    <row r="176" customFormat="false" ht="15" hidden="false" customHeight="true" outlineLevel="0" collapsed="false">
      <c r="A176" s="3" t="s">
        <v>628</v>
      </c>
      <c r="B176" s="3" t="s">
        <v>629</v>
      </c>
      <c r="C176" s="3" t="s">
        <v>617</v>
      </c>
      <c r="D176" s="3" t="s">
        <v>630</v>
      </c>
      <c r="E176" s="3" t="s">
        <v>39</v>
      </c>
      <c r="F176" s="3" t="s">
        <v>40</v>
      </c>
      <c r="G176" s="3" t="s">
        <v>39</v>
      </c>
      <c r="H176" s="3" t="s">
        <v>594</v>
      </c>
      <c r="I176" s="3" t="s">
        <v>41</v>
      </c>
      <c r="J176" s="3" t="s">
        <v>61</v>
      </c>
      <c r="K176" s="3" t="s">
        <v>62</v>
      </c>
      <c r="L176" s="3" t="s">
        <v>63</v>
      </c>
      <c r="M176" s="3" t="s">
        <v>64</v>
      </c>
      <c r="N176" s="3" t="s">
        <v>33</v>
      </c>
      <c r="O176" s="4" t="n">
        <v>46060</v>
      </c>
      <c r="P176" s="3" t="n">
        <f aca="false">ROUND((About!$B$3-O176)/365.25,1)</f>
        <v>0.6</v>
      </c>
      <c r="Q176" s="3" t="str">
        <f aca="false">IF(O176&gt;About!$B$4,"Yes","No")</f>
        <v>Yes</v>
      </c>
      <c r="R176" s="3" t="s">
        <v>590</v>
      </c>
      <c r="S176" s="3" t="str">
        <f aca="false">IF(R176="","",INDEX($B$2:$B$231,MATCH(R176,$A$2:$A$231,0))&amp;" "&amp;INDEX($C$2:$C$231,MATCH(R176,$A$2:$A$231,0)))</f>
        <v>Esme Marchetti</v>
      </c>
      <c r="T176" s="3" t="s">
        <v>34</v>
      </c>
      <c r="U176" s="3" t="str">
        <f aca="false">H176&amp;" | "&amp;G176</f>
        <v>Privacy &amp; Data Protection | Executive Assistant</v>
      </c>
    </row>
    <row r="177" customFormat="false" ht="15" hidden="false" customHeight="true" outlineLevel="0" collapsed="false">
      <c r="A177" s="3" t="s">
        <v>631</v>
      </c>
      <c r="B177" s="3" t="s">
        <v>22</v>
      </c>
      <c r="C177" s="3" t="s">
        <v>93</v>
      </c>
      <c r="D177" s="3" t="s">
        <v>632</v>
      </c>
      <c r="E177" s="3" t="s">
        <v>633</v>
      </c>
      <c r="F177" s="3" t="s">
        <v>52</v>
      </c>
      <c r="G177" s="3" t="s">
        <v>27</v>
      </c>
      <c r="H177" s="3" t="s">
        <v>634</v>
      </c>
      <c r="I177" s="3"/>
      <c r="J177" s="3" t="s">
        <v>29</v>
      </c>
      <c r="K177" s="3" t="s">
        <v>30</v>
      </c>
      <c r="L177" s="3" t="s">
        <v>31</v>
      </c>
      <c r="M177" s="3" t="s">
        <v>32</v>
      </c>
      <c r="N177" s="3" t="s">
        <v>33</v>
      </c>
      <c r="O177" s="4" t="n">
        <v>41210</v>
      </c>
      <c r="P177" s="3" t="n">
        <f aca="false">ROUND((About!$B$3-O177)/365.25,1)</f>
        <v>13.9</v>
      </c>
      <c r="Q177" s="3" t="str">
        <f aca="false">IF(O177&gt;About!$B$4,"Yes","No")</f>
        <v>No</v>
      </c>
      <c r="R177" s="3" t="s">
        <v>21</v>
      </c>
      <c r="S177" s="3" t="str">
        <f aca="false">IF(R177="","",INDEX($B$2:$B$231,MATCH(R177,$A$2:$A$231,0))&amp;" "&amp;INDEX($C$2:$C$231,MATCH(R177,$A$2:$A$231,0)))</f>
        <v>Simon Rasmussen</v>
      </c>
      <c r="T177" s="3" t="s">
        <v>34</v>
      </c>
      <c r="U177" s="3" t="str">
        <f aca="false">H177&amp;" | "&amp;G177</f>
        <v>Corporate, Securities &amp; Governance | Lawyer - Leadership</v>
      </c>
    </row>
    <row r="178" customFormat="false" ht="15" hidden="false" customHeight="true" outlineLevel="0" collapsed="false">
      <c r="A178" s="3" t="s">
        <v>635</v>
      </c>
      <c r="B178" s="3" t="s">
        <v>479</v>
      </c>
      <c r="C178" s="3" t="s">
        <v>102</v>
      </c>
      <c r="D178" s="3" t="s">
        <v>636</v>
      </c>
      <c r="E178" s="3" t="s">
        <v>116</v>
      </c>
      <c r="F178" s="3" t="s">
        <v>117</v>
      </c>
      <c r="G178" s="3" t="s">
        <v>118</v>
      </c>
      <c r="H178" s="3" t="s">
        <v>634</v>
      </c>
      <c r="I178" s="3"/>
      <c r="J178" s="3" t="s">
        <v>29</v>
      </c>
      <c r="K178" s="3" t="s">
        <v>30</v>
      </c>
      <c r="L178" s="3" t="s">
        <v>31</v>
      </c>
      <c r="M178" s="3" t="s">
        <v>32</v>
      </c>
      <c r="N178" s="3" t="s">
        <v>33</v>
      </c>
      <c r="O178" s="4" t="n">
        <v>43070</v>
      </c>
      <c r="P178" s="3" t="n">
        <f aca="false">ROUND((About!$B$3-O178)/365.25,1)</f>
        <v>8.8</v>
      </c>
      <c r="Q178" s="3" t="str">
        <f aca="false">IF(O178&gt;About!$B$4,"Yes","No")</f>
        <v>No</v>
      </c>
      <c r="R178" s="3" t="s">
        <v>631</v>
      </c>
      <c r="S178" s="3" t="str">
        <f aca="false">IF(R178="","",INDEX($B$2:$B$231,MATCH(R178,$A$2:$A$231,0))&amp;" "&amp;INDEX($C$2:$C$231,MATCH(R178,$A$2:$A$231,0)))</f>
        <v>Simon Fontaine</v>
      </c>
      <c r="T178" s="3" t="s">
        <v>34</v>
      </c>
      <c r="U178" s="3" t="str">
        <f aca="false">H178&amp;" | "&amp;G178</f>
        <v>Corporate, Securities &amp; Governance | Lawyer - Senior</v>
      </c>
    </row>
    <row r="179" customFormat="false" ht="15" hidden="false" customHeight="true" outlineLevel="0" collapsed="false">
      <c r="A179" s="3" t="s">
        <v>637</v>
      </c>
      <c r="B179" s="3" t="s">
        <v>417</v>
      </c>
      <c r="C179" s="3" t="s">
        <v>454</v>
      </c>
      <c r="D179" s="3" t="s">
        <v>638</v>
      </c>
      <c r="E179" s="3" t="s">
        <v>72</v>
      </c>
      <c r="F179" s="3" t="s">
        <v>73</v>
      </c>
      <c r="G179" s="3" t="s">
        <v>74</v>
      </c>
      <c r="H179" s="3" t="s">
        <v>634</v>
      </c>
      <c r="I179" s="3"/>
      <c r="J179" s="3" t="s">
        <v>148</v>
      </c>
      <c r="K179" s="3" t="s">
        <v>30</v>
      </c>
      <c r="L179" s="3" t="s">
        <v>31</v>
      </c>
      <c r="M179" s="3" t="s">
        <v>90</v>
      </c>
      <c r="N179" s="3" t="s">
        <v>124</v>
      </c>
      <c r="O179" s="4" t="n">
        <v>44938</v>
      </c>
      <c r="P179" s="3" t="n">
        <f aca="false">ROUND((About!$B$3-O179)/365.25,1)</f>
        <v>3.7</v>
      </c>
      <c r="Q179" s="3" t="str">
        <f aca="false">IF(O179&gt;About!$B$4,"Yes","No")</f>
        <v>No</v>
      </c>
      <c r="R179" s="3" t="s">
        <v>631</v>
      </c>
      <c r="S179" s="3" t="str">
        <f aca="false">IF(R179="","",INDEX($B$2:$B$231,MATCH(R179,$A$2:$A$231,0))&amp;" "&amp;INDEX($C$2:$C$231,MATCH(R179,$A$2:$A$231,0)))</f>
        <v>Simon Fontaine</v>
      </c>
      <c r="T179" s="3" t="s">
        <v>34</v>
      </c>
      <c r="U179" s="3" t="str">
        <f aca="false">H179&amp;" | "&amp;G179</f>
        <v>Corporate, Securities &amp; Governance | Lawyer - Mid</v>
      </c>
    </row>
    <row r="180" customFormat="false" ht="15" hidden="false" customHeight="true" outlineLevel="0" collapsed="false">
      <c r="A180" s="3" t="s">
        <v>639</v>
      </c>
      <c r="B180" s="3" t="s">
        <v>36</v>
      </c>
      <c r="C180" s="3" t="s">
        <v>127</v>
      </c>
      <c r="D180" s="3" t="s">
        <v>640</v>
      </c>
      <c r="E180" s="3" t="s">
        <v>72</v>
      </c>
      <c r="F180" s="3" t="s">
        <v>73</v>
      </c>
      <c r="G180" s="3" t="s">
        <v>74</v>
      </c>
      <c r="H180" s="3" t="s">
        <v>634</v>
      </c>
      <c r="I180" s="3"/>
      <c r="J180" s="3" t="s">
        <v>29</v>
      </c>
      <c r="K180" s="3" t="s">
        <v>30</v>
      </c>
      <c r="L180" s="3" t="s">
        <v>31</v>
      </c>
      <c r="M180" s="3" t="s">
        <v>32</v>
      </c>
      <c r="N180" s="3" t="s">
        <v>33</v>
      </c>
      <c r="O180" s="4" t="n">
        <v>46040</v>
      </c>
      <c r="P180" s="3" t="n">
        <f aca="false">ROUND((About!$B$3-O180)/365.25,1)</f>
        <v>0.6</v>
      </c>
      <c r="Q180" s="3" t="str">
        <f aca="false">IF(O180&gt;About!$B$4,"Yes","No")</f>
        <v>Yes</v>
      </c>
      <c r="R180" s="3" t="s">
        <v>631</v>
      </c>
      <c r="S180" s="3" t="str">
        <f aca="false">IF(R180="","",INDEX($B$2:$B$231,MATCH(R180,$A$2:$A$231,0))&amp;" "&amp;INDEX($C$2:$C$231,MATCH(R180,$A$2:$A$231,0)))</f>
        <v>Simon Fontaine</v>
      </c>
      <c r="T180" s="3" t="s">
        <v>34</v>
      </c>
      <c r="U180" s="3" t="str">
        <f aca="false">H180&amp;" | "&amp;G180</f>
        <v>Corporate, Securities &amp; Governance | Lawyer - Mid</v>
      </c>
    </row>
    <row r="181" customFormat="false" ht="15" hidden="false" customHeight="true" outlineLevel="0" collapsed="false">
      <c r="A181" s="3" t="s">
        <v>641</v>
      </c>
      <c r="B181" s="3" t="s">
        <v>266</v>
      </c>
      <c r="C181" s="3" t="s">
        <v>127</v>
      </c>
      <c r="D181" s="3" t="s">
        <v>642</v>
      </c>
      <c r="E181" s="3" t="s">
        <v>58</v>
      </c>
      <c r="F181" s="3" t="s">
        <v>59</v>
      </c>
      <c r="G181" s="3" t="s">
        <v>60</v>
      </c>
      <c r="H181" s="3" t="s">
        <v>634</v>
      </c>
      <c r="I181" s="3"/>
      <c r="J181" s="3" t="s">
        <v>29</v>
      </c>
      <c r="K181" s="3" t="s">
        <v>30</v>
      </c>
      <c r="L181" s="3" t="s">
        <v>31</v>
      </c>
      <c r="M181" s="3" t="s">
        <v>32</v>
      </c>
      <c r="N181" s="3" t="s">
        <v>124</v>
      </c>
      <c r="O181" s="4" t="n">
        <v>46050</v>
      </c>
      <c r="P181" s="3" t="n">
        <f aca="false">ROUND((About!$B$3-O181)/365.25,1)</f>
        <v>0.6</v>
      </c>
      <c r="Q181" s="3" t="str">
        <f aca="false">IF(O181&gt;About!$B$4,"Yes","No")</f>
        <v>Yes</v>
      </c>
      <c r="R181" s="3" t="s">
        <v>631</v>
      </c>
      <c r="S181" s="3" t="str">
        <f aca="false">IF(R181="","",INDEX($B$2:$B$231,MATCH(R181,$A$2:$A$231,0))&amp;" "&amp;INDEX($C$2:$C$231,MATCH(R181,$A$2:$A$231,0)))</f>
        <v>Simon Fontaine</v>
      </c>
      <c r="T181" s="3" t="s">
        <v>34</v>
      </c>
      <c r="U181" s="3" t="str">
        <f aca="false">H181&amp;" | "&amp;G181</f>
        <v>Corporate, Securities &amp; Governance | Lawyer - Junior</v>
      </c>
    </row>
    <row r="182" customFormat="false" ht="15" hidden="false" customHeight="true" outlineLevel="0" collapsed="false">
      <c r="A182" s="3" t="s">
        <v>643</v>
      </c>
      <c r="B182" s="3" t="s">
        <v>644</v>
      </c>
      <c r="C182" s="3" t="s">
        <v>49</v>
      </c>
      <c r="D182" s="3" t="s">
        <v>645</v>
      </c>
      <c r="E182" s="3" t="s">
        <v>58</v>
      </c>
      <c r="F182" s="3" t="s">
        <v>59</v>
      </c>
      <c r="G182" s="3" t="s">
        <v>60</v>
      </c>
      <c r="H182" s="3" t="s">
        <v>634</v>
      </c>
      <c r="I182" s="3"/>
      <c r="J182" s="3" t="s">
        <v>29</v>
      </c>
      <c r="K182" s="3" t="s">
        <v>30</v>
      </c>
      <c r="L182" s="3" t="s">
        <v>31</v>
      </c>
      <c r="M182" s="3" t="s">
        <v>32</v>
      </c>
      <c r="N182" s="3" t="s">
        <v>33</v>
      </c>
      <c r="O182" s="4" t="n">
        <v>42122</v>
      </c>
      <c r="P182" s="3" t="n">
        <f aca="false">ROUND((About!$B$3-O182)/365.25,1)</f>
        <v>11.4</v>
      </c>
      <c r="Q182" s="3" t="str">
        <f aca="false">IF(O182&gt;About!$B$4,"Yes","No")</f>
        <v>No</v>
      </c>
      <c r="R182" s="3" t="s">
        <v>631</v>
      </c>
      <c r="S182" s="3" t="str">
        <f aca="false">IF(R182="","",INDEX($B$2:$B$231,MATCH(R182,$A$2:$A$231,0))&amp;" "&amp;INDEX($C$2:$C$231,MATCH(R182,$A$2:$A$231,0)))</f>
        <v>Simon Fontaine</v>
      </c>
      <c r="T182" s="3" t="s">
        <v>34</v>
      </c>
      <c r="U182" s="3" t="str">
        <f aca="false">H182&amp;" | "&amp;G182</f>
        <v>Corporate, Securities &amp; Governance | Lawyer - Junior</v>
      </c>
    </row>
    <row r="183" customFormat="false" ht="15" hidden="false" customHeight="true" outlineLevel="0" collapsed="false">
      <c r="A183" s="3" t="s">
        <v>646</v>
      </c>
      <c r="B183" s="3" t="s">
        <v>479</v>
      </c>
      <c r="C183" s="3" t="s">
        <v>131</v>
      </c>
      <c r="D183" s="3" t="s">
        <v>647</v>
      </c>
      <c r="E183" s="3" t="s">
        <v>72</v>
      </c>
      <c r="F183" s="3" t="s">
        <v>73</v>
      </c>
      <c r="G183" s="3" t="s">
        <v>74</v>
      </c>
      <c r="H183" s="3" t="s">
        <v>634</v>
      </c>
      <c r="I183" s="3"/>
      <c r="J183" s="3" t="s">
        <v>29</v>
      </c>
      <c r="K183" s="3" t="s">
        <v>30</v>
      </c>
      <c r="L183" s="3" t="s">
        <v>31</v>
      </c>
      <c r="M183" s="3" t="s">
        <v>32</v>
      </c>
      <c r="N183" s="3" t="s">
        <v>33</v>
      </c>
      <c r="O183" s="4" t="n">
        <v>46185</v>
      </c>
      <c r="P183" s="3" t="n">
        <f aca="false">ROUND((About!$B$3-O183)/365.25,1)</f>
        <v>0.2</v>
      </c>
      <c r="Q183" s="3" t="str">
        <f aca="false">IF(O183&gt;About!$B$4,"Yes","No")</f>
        <v>Yes</v>
      </c>
      <c r="R183" s="3" t="s">
        <v>631</v>
      </c>
      <c r="S183" s="3" t="str">
        <f aca="false">IF(R183="","",INDEX($B$2:$B$231,MATCH(R183,$A$2:$A$231,0))&amp;" "&amp;INDEX($C$2:$C$231,MATCH(R183,$A$2:$A$231,0)))</f>
        <v>Simon Fontaine</v>
      </c>
      <c r="T183" s="3" t="s">
        <v>34</v>
      </c>
      <c r="U183" s="3" t="str">
        <f aca="false">H183&amp;" | "&amp;G183</f>
        <v>Corporate, Securities &amp; Governance | Lawyer - Mid</v>
      </c>
    </row>
    <row r="184" customFormat="false" ht="15" hidden="false" customHeight="true" outlineLevel="0" collapsed="false">
      <c r="A184" s="3" t="s">
        <v>648</v>
      </c>
      <c r="B184" s="3" t="s">
        <v>649</v>
      </c>
      <c r="C184" s="3" t="s">
        <v>650</v>
      </c>
      <c r="D184" s="3" t="s">
        <v>651</v>
      </c>
      <c r="E184" s="3" t="s">
        <v>72</v>
      </c>
      <c r="F184" s="3" t="s">
        <v>73</v>
      </c>
      <c r="G184" s="3" t="s">
        <v>74</v>
      </c>
      <c r="H184" s="3" t="s">
        <v>634</v>
      </c>
      <c r="I184" s="3"/>
      <c r="J184" s="3" t="s">
        <v>29</v>
      </c>
      <c r="K184" s="3" t="s">
        <v>30</v>
      </c>
      <c r="L184" s="3" t="s">
        <v>31</v>
      </c>
      <c r="M184" s="3" t="s">
        <v>32</v>
      </c>
      <c r="N184" s="3" t="s">
        <v>33</v>
      </c>
      <c r="O184" s="4" t="n">
        <v>38588</v>
      </c>
      <c r="P184" s="3" t="n">
        <f aca="false">ROUND((About!$B$3-O184)/365.25,1)</f>
        <v>21</v>
      </c>
      <c r="Q184" s="3" t="str">
        <f aca="false">IF(O184&gt;About!$B$4,"Yes","No")</f>
        <v>No</v>
      </c>
      <c r="R184" s="3" t="s">
        <v>631</v>
      </c>
      <c r="S184" s="3" t="str">
        <f aca="false">IF(R184="","",INDEX($B$2:$B$231,MATCH(R184,$A$2:$A$231,0))&amp;" "&amp;INDEX($C$2:$C$231,MATCH(R184,$A$2:$A$231,0)))</f>
        <v>Simon Fontaine</v>
      </c>
      <c r="T184" s="3" t="s">
        <v>34</v>
      </c>
      <c r="U184" s="3" t="str">
        <f aca="false">H184&amp;" | "&amp;G184</f>
        <v>Corporate, Securities &amp; Governance | Lawyer - Mid</v>
      </c>
    </row>
    <row r="185" customFormat="false" ht="15" hidden="false" customHeight="true" outlineLevel="0" collapsed="false">
      <c r="A185" s="3" t="s">
        <v>652</v>
      </c>
      <c r="B185" s="3" t="s">
        <v>558</v>
      </c>
      <c r="C185" s="3" t="s">
        <v>201</v>
      </c>
      <c r="D185" s="3" t="s">
        <v>653</v>
      </c>
      <c r="E185" s="3" t="s">
        <v>116</v>
      </c>
      <c r="F185" s="3" t="s">
        <v>117</v>
      </c>
      <c r="G185" s="3" t="s">
        <v>118</v>
      </c>
      <c r="H185" s="3" t="s">
        <v>634</v>
      </c>
      <c r="I185" s="3"/>
      <c r="J185" s="3" t="s">
        <v>111</v>
      </c>
      <c r="K185" s="3" t="s">
        <v>30</v>
      </c>
      <c r="L185" s="3" t="s">
        <v>31</v>
      </c>
      <c r="M185" s="3" t="s">
        <v>90</v>
      </c>
      <c r="N185" s="3" t="s">
        <v>124</v>
      </c>
      <c r="O185" s="4" t="n">
        <v>45730</v>
      </c>
      <c r="P185" s="3" t="n">
        <f aca="false">ROUND((About!$B$3-O185)/365.25,1)</f>
        <v>1.5</v>
      </c>
      <c r="Q185" s="3" t="str">
        <f aca="false">IF(O185&gt;About!$B$4,"Yes","No")</f>
        <v>Yes</v>
      </c>
      <c r="R185" s="3" t="s">
        <v>631</v>
      </c>
      <c r="S185" s="3" t="str">
        <f aca="false">IF(R185="","",INDEX($B$2:$B$231,MATCH(R185,$A$2:$A$231,0))&amp;" "&amp;INDEX($C$2:$C$231,MATCH(R185,$A$2:$A$231,0)))</f>
        <v>Simon Fontaine</v>
      </c>
      <c r="T185" s="3" t="s">
        <v>34</v>
      </c>
      <c r="U185" s="3" t="str">
        <f aca="false">H185&amp;" | "&amp;G185</f>
        <v>Corporate, Securities &amp; Governance | Lawyer - Senior</v>
      </c>
    </row>
    <row r="186" customFormat="false" ht="15" hidden="false" customHeight="true" outlineLevel="0" collapsed="false">
      <c r="A186" s="3" t="s">
        <v>654</v>
      </c>
      <c r="B186" s="3" t="s">
        <v>649</v>
      </c>
      <c r="C186" s="3" t="s">
        <v>98</v>
      </c>
      <c r="D186" s="3" t="s">
        <v>655</v>
      </c>
      <c r="E186" s="3" t="s">
        <v>58</v>
      </c>
      <c r="F186" s="3" t="s">
        <v>59</v>
      </c>
      <c r="G186" s="3" t="s">
        <v>60</v>
      </c>
      <c r="H186" s="3" t="s">
        <v>634</v>
      </c>
      <c r="I186" s="3"/>
      <c r="J186" s="3" t="s">
        <v>111</v>
      </c>
      <c r="K186" s="3" t="s">
        <v>30</v>
      </c>
      <c r="L186" s="3" t="s">
        <v>31</v>
      </c>
      <c r="M186" s="3" t="s">
        <v>90</v>
      </c>
      <c r="N186" s="3" t="s">
        <v>124</v>
      </c>
      <c r="O186" s="4" t="n">
        <v>42717</v>
      </c>
      <c r="P186" s="3" t="n">
        <f aca="false">ROUND((About!$B$3-O186)/365.25,1)</f>
        <v>9.7</v>
      </c>
      <c r="Q186" s="3" t="str">
        <f aca="false">IF(O186&gt;About!$B$4,"Yes","No")</f>
        <v>No</v>
      </c>
      <c r="R186" s="3" t="s">
        <v>631</v>
      </c>
      <c r="S186" s="3" t="str">
        <f aca="false">IF(R186="","",INDEX($B$2:$B$231,MATCH(R186,$A$2:$A$231,0))&amp;" "&amp;INDEX($C$2:$C$231,MATCH(R186,$A$2:$A$231,0)))</f>
        <v>Simon Fontaine</v>
      </c>
      <c r="T186" s="3" t="s">
        <v>34</v>
      </c>
      <c r="U186" s="3" t="str">
        <f aca="false">H186&amp;" | "&amp;G186</f>
        <v>Corporate, Securities &amp; Governance | Lawyer - Junior</v>
      </c>
    </row>
    <row r="187" customFormat="false" ht="15" hidden="false" customHeight="true" outlineLevel="0" collapsed="false">
      <c r="A187" s="3" t="s">
        <v>656</v>
      </c>
      <c r="B187" s="3" t="s">
        <v>417</v>
      </c>
      <c r="C187" s="3" t="s">
        <v>56</v>
      </c>
      <c r="D187" s="3" t="s">
        <v>657</v>
      </c>
      <c r="E187" s="3" t="s">
        <v>72</v>
      </c>
      <c r="F187" s="3" t="s">
        <v>73</v>
      </c>
      <c r="G187" s="3" t="s">
        <v>74</v>
      </c>
      <c r="H187" s="3" t="s">
        <v>634</v>
      </c>
      <c r="I187" s="3"/>
      <c r="J187" s="3" t="s">
        <v>123</v>
      </c>
      <c r="K187" s="3" t="s">
        <v>30</v>
      </c>
      <c r="L187" s="3" t="s">
        <v>31</v>
      </c>
      <c r="M187" s="3" t="s">
        <v>90</v>
      </c>
      <c r="N187" s="3" t="s">
        <v>33</v>
      </c>
      <c r="O187" s="4" t="n">
        <v>41621</v>
      </c>
      <c r="P187" s="3" t="n">
        <f aca="false">ROUND((About!$B$3-O187)/365.25,1)</f>
        <v>12.7</v>
      </c>
      <c r="Q187" s="3" t="str">
        <f aca="false">IF(O187&gt;About!$B$4,"Yes","No")</f>
        <v>No</v>
      </c>
      <c r="R187" s="3" t="s">
        <v>631</v>
      </c>
      <c r="S187" s="3" t="str">
        <f aca="false">IF(R187="","",INDEX($B$2:$B$231,MATCH(R187,$A$2:$A$231,0))&amp;" "&amp;INDEX($C$2:$C$231,MATCH(R187,$A$2:$A$231,0)))</f>
        <v>Simon Fontaine</v>
      </c>
      <c r="T187" s="3" t="s">
        <v>34</v>
      </c>
      <c r="U187" s="3" t="str">
        <f aca="false">H187&amp;" | "&amp;G187</f>
        <v>Corporate, Securities &amp; Governance | Lawyer - Mid</v>
      </c>
    </row>
    <row r="188" customFormat="false" ht="15" hidden="false" customHeight="true" outlineLevel="0" collapsed="false">
      <c r="A188" s="3" t="s">
        <v>658</v>
      </c>
      <c r="B188" s="3" t="s">
        <v>466</v>
      </c>
      <c r="C188" s="3" t="s">
        <v>659</v>
      </c>
      <c r="D188" s="3" t="s">
        <v>660</v>
      </c>
      <c r="E188" s="3" t="s">
        <v>58</v>
      </c>
      <c r="F188" s="3" t="s">
        <v>59</v>
      </c>
      <c r="G188" s="3" t="s">
        <v>60</v>
      </c>
      <c r="H188" s="3" t="s">
        <v>634</v>
      </c>
      <c r="I188" s="3"/>
      <c r="J188" s="3" t="s">
        <v>123</v>
      </c>
      <c r="K188" s="3" t="s">
        <v>30</v>
      </c>
      <c r="L188" s="3" t="s">
        <v>31</v>
      </c>
      <c r="M188" s="3" t="s">
        <v>90</v>
      </c>
      <c r="N188" s="3" t="s">
        <v>33</v>
      </c>
      <c r="O188" s="4" t="n">
        <v>43274</v>
      </c>
      <c r="P188" s="3" t="n">
        <f aca="false">ROUND((About!$B$3-O188)/365.25,1)</f>
        <v>8.2</v>
      </c>
      <c r="Q188" s="3" t="str">
        <f aca="false">IF(O188&gt;About!$B$4,"Yes","No")</f>
        <v>No</v>
      </c>
      <c r="R188" s="3" t="s">
        <v>631</v>
      </c>
      <c r="S188" s="3" t="str">
        <f aca="false">IF(R188="","",INDEX($B$2:$B$231,MATCH(R188,$A$2:$A$231,0))&amp;" "&amp;INDEX($C$2:$C$231,MATCH(R188,$A$2:$A$231,0)))</f>
        <v>Simon Fontaine</v>
      </c>
      <c r="T188" s="3" t="s">
        <v>34</v>
      </c>
      <c r="U188" s="3" t="str">
        <f aca="false">H188&amp;" | "&amp;G188</f>
        <v>Corporate, Securities &amp; Governance | Lawyer - Junior</v>
      </c>
    </row>
    <row r="189" customFormat="false" ht="15" hidden="false" customHeight="true" outlineLevel="0" collapsed="false">
      <c r="A189" s="3" t="s">
        <v>661</v>
      </c>
      <c r="B189" s="3" t="s">
        <v>158</v>
      </c>
      <c r="C189" s="3" t="s">
        <v>407</v>
      </c>
      <c r="D189" s="3" t="s">
        <v>662</v>
      </c>
      <c r="E189" s="3" t="s">
        <v>194</v>
      </c>
      <c r="F189" s="3" t="s">
        <v>195</v>
      </c>
      <c r="G189" s="3" t="s">
        <v>196</v>
      </c>
      <c r="H189" s="3" t="s">
        <v>634</v>
      </c>
      <c r="I189" s="3" t="s">
        <v>197</v>
      </c>
      <c r="J189" s="3" t="s">
        <v>29</v>
      </c>
      <c r="K189" s="3" t="s">
        <v>30</v>
      </c>
      <c r="L189" s="3" t="s">
        <v>31</v>
      </c>
      <c r="M189" s="3" t="s">
        <v>32</v>
      </c>
      <c r="N189" s="3" t="s">
        <v>33</v>
      </c>
      <c r="O189" s="4" t="n">
        <v>46163</v>
      </c>
      <c r="P189" s="3" t="n">
        <f aca="false">ROUND((About!$B$3-O189)/365.25,1)</f>
        <v>0.3</v>
      </c>
      <c r="Q189" s="3" t="str">
        <f aca="false">IF(O189&gt;About!$B$4,"Yes","No")</f>
        <v>Yes</v>
      </c>
      <c r="R189" s="3" t="s">
        <v>198</v>
      </c>
      <c r="S189" s="3" t="str">
        <f aca="false">IF(R189="","",INDEX($B$2:$B$231,MATCH(R189,$A$2:$A$231,0))&amp;" "&amp;INDEX($C$2:$C$231,MATCH(R189,$A$2:$A$231,0)))</f>
        <v>Ada Paredes</v>
      </c>
      <c r="T189" s="3" t="s">
        <v>34</v>
      </c>
      <c r="U189" s="3" t="str">
        <f aca="false">H189&amp;" | "&amp;G189</f>
        <v>Corporate, Securities &amp; Governance | Paraprofessional</v>
      </c>
    </row>
    <row r="190" customFormat="false" ht="15" hidden="false" customHeight="true" outlineLevel="0" collapsed="false">
      <c r="A190" s="3" t="s">
        <v>663</v>
      </c>
      <c r="B190" s="3" t="s">
        <v>286</v>
      </c>
      <c r="C190" s="3" t="s">
        <v>664</v>
      </c>
      <c r="D190" s="3" t="s">
        <v>665</v>
      </c>
      <c r="E190" s="3" t="s">
        <v>194</v>
      </c>
      <c r="F190" s="3" t="s">
        <v>195</v>
      </c>
      <c r="G190" s="3" t="s">
        <v>196</v>
      </c>
      <c r="H190" s="3" t="s">
        <v>634</v>
      </c>
      <c r="I190" s="3" t="s">
        <v>197</v>
      </c>
      <c r="J190" s="3" t="s">
        <v>111</v>
      </c>
      <c r="K190" s="3" t="s">
        <v>30</v>
      </c>
      <c r="L190" s="3" t="s">
        <v>31</v>
      </c>
      <c r="M190" s="3" t="s">
        <v>90</v>
      </c>
      <c r="N190" s="3" t="s">
        <v>124</v>
      </c>
      <c r="O190" s="4" t="n">
        <v>45660</v>
      </c>
      <c r="P190" s="3" t="n">
        <f aca="false">ROUND((About!$B$3-O190)/365.25,1)</f>
        <v>1.7</v>
      </c>
      <c r="Q190" s="3" t="str">
        <f aca="false">IF(O190&gt;About!$B$4,"Yes","No")</f>
        <v>Yes</v>
      </c>
      <c r="R190" s="3" t="s">
        <v>198</v>
      </c>
      <c r="S190" s="3" t="str">
        <f aca="false">IF(R190="","",INDEX($B$2:$B$231,MATCH(R190,$A$2:$A$231,0))&amp;" "&amp;INDEX($C$2:$C$231,MATCH(R190,$A$2:$A$231,0)))</f>
        <v>Ada Paredes</v>
      </c>
      <c r="T190" s="3" t="s">
        <v>34</v>
      </c>
      <c r="U190" s="3" t="str">
        <f aca="false">H190&amp;" | "&amp;G190</f>
        <v>Corporate, Securities &amp; Governance | Paraprofessional</v>
      </c>
    </row>
    <row r="191" customFormat="false" ht="15" hidden="false" customHeight="true" outlineLevel="0" collapsed="false">
      <c r="A191" s="3" t="s">
        <v>666</v>
      </c>
      <c r="B191" s="3" t="s">
        <v>86</v>
      </c>
      <c r="C191" s="3" t="s">
        <v>667</v>
      </c>
      <c r="D191" s="3" t="s">
        <v>668</v>
      </c>
      <c r="E191" s="3" t="s">
        <v>194</v>
      </c>
      <c r="F191" s="3" t="s">
        <v>195</v>
      </c>
      <c r="G191" s="3" t="s">
        <v>196</v>
      </c>
      <c r="H191" s="3" t="s">
        <v>634</v>
      </c>
      <c r="I191" s="3" t="s">
        <v>197</v>
      </c>
      <c r="J191" s="3" t="s">
        <v>29</v>
      </c>
      <c r="K191" s="3" t="s">
        <v>30</v>
      </c>
      <c r="L191" s="3" t="s">
        <v>31</v>
      </c>
      <c r="M191" s="3" t="s">
        <v>32</v>
      </c>
      <c r="N191" s="3" t="s">
        <v>42</v>
      </c>
      <c r="O191" s="4" t="n">
        <v>44322</v>
      </c>
      <c r="P191" s="3" t="n">
        <f aca="false">ROUND((About!$B$3-O191)/365.25,1)</f>
        <v>5.3</v>
      </c>
      <c r="Q191" s="3" t="str">
        <f aca="false">IF(O191&gt;About!$B$4,"Yes","No")</f>
        <v>No</v>
      </c>
      <c r="R191" s="3" t="s">
        <v>198</v>
      </c>
      <c r="S191" s="3" t="str">
        <f aca="false">IF(R191="","",INDEX($B$2:$B$231,MATCH(R191,$A$2:$A$231,0))&amp;" "&amp;INDEX($C$2:$C$231,MATCH(R191,$A$2:$A$231,0)))</f>
        <v>Ada Paredes</v>
      </c>
      <c r="T191" s="3" t="s">
        <v>34</v>
      </c>
      <c r="U191" s="3" t="str">
        <f aca="false">H191&amp;" | "&amp;G191</f>
        <v>Corporate, Securities &amp; Governance | Paraprofessional</v>
      </c>
    </row>
    <row r="192" customFormat="false" ht="15" hidden="false" customHeight="true" outlineLevel="0" collapsed="false">
      <c r="A192" s="3" t="s">
        <v>669</v>
      </c>
      <c r="B192" s="3" t="s">
        <v>670</v>
      </c>
      <c r="C192" s="3" t="s">
        <v>667</v>
      </c>
      <c r="D192" s="3" t="s">
        <v>671</v>
      </c>
      <c r="E192" s="3" t="s">
        <v>39</v>
      </c>
      <c r="F192" s="3" t="s">
        <v>40</v>
      </c>
      <c r="G192" s="3" t="s">
        <v>39</v>
      </c>
      <c r="H192" s="3" t="s">
        <v>634</v>
      </c>
      <c r="I192" s="3" t="s">
        <v>41</v>
      </c>
      <c r="J192" s="3" t="s">
        <v>29</v>
      </c>
      <c r="K192" s="3" t="s">
        <v>30</v>
      </c>
      <c r="L192" s="3" t="s">
        <v>31</v>
      </c>
      <c r="M192" s="3" t="s">
        <v>32</v>
      </c>
      <c r="N192" s="3" t="s">
        <v>124</v>
      </c>
      <c r="O192" s="4" t="n">
        <v>44146</v>
      </c>
      <c r="P192" s="3" t="n">
        <f aca="false">ROUND((About!$B$3-O192)/365.25,1)</f>
        <v>5.8</v>
      </c>
      <c r="Q192" s="3" t="str">
        <f aca="false">IF(O192&gt;About!$B$4,"Yes","No")</f>
        <v>No</v>
      </c>
      <c r="R192" s="3" t="s">
        <v>631</v>
      </c>
      <c r="S192" s="3" t="str">
        <f aca="false">IF(R192="","",INDEX($B$2:$B$231,MATCH(R192,$A$2:$A$231,0))&amp;" "&amp;INDEX($C$2:$C$231,MATCH(R192,$A$2:$A$231,0)))</f>
        <v>Simon Fontaine</v>
      </c>
      <c r="T192" s="3" t="s">
        <v>34</v>
      </c>
      <c r="U192" s="3" t="str">
        <f aca="false">H192&amp;" | "&amp;G192</f>
        <v>Corporate, Securities &amp; Governance | Executive Assistant</v>
      </c>
    </row>
    <row r="193" customFormat="false" ht="15" hidden="false" customHeight="true" outlineLevel="0" collapsed="false">
      <c r="A193" s="3" t="s">
        <v>672</v>
      </c>
      <c r="B193" s="3" t="s">
        <v>336</v>
      </c>
      <c r="C193" s="3" t="s">
        <v>512</v>
      </c>
      <c r="D193" s="3" t="s">
        <v>673</v>
      </c>
      <c r="E193" s="3" t="s">
        <v>674</v>
      </c>
      <c r="F193" s="3" t="s">
        <v>52</v>
      </c>
      <c r="G193" s="3" t="s">
        <v>27</v>
      </c>
      <c r="H193" s="3" t="s">
        <v>675</v>
      </c>
      <c r="I193" s="3"/>
      <c r="J193" s="3" t="s">
        <v>29</v>
      </c>
      <c r="K193" s="3" t="s">
        <v>30</v>
      </c>
      <c r="L193" s="3" t="s">
        <v>31</v>
      </c>
      <c r="M193" s="3" t="s">
        <v>32</v>
      </c>
      <c r="N193" s="3" t="s">
        <v>42</v>
      </c>
      <c r="O193" s="4" t="n">
        <v>38426</v>
      </c>
      <c r="P193" s="3" t="n">
        <f aca="false">ROUND((About!$B$3-O193)/365.25,1)</f>
        <v>21.5</v>
      </c>
      <c r="Q193" s="3" t="str">
        <f aca="false">IF(O193&gt;About!$B$4,"Yes","No")</f>
        <v>No</v>
      </c>
      <c r="R193" s="3" t="s">
        <v>21</v>
      </c>
      <c r="S193" s="3" t="str">
        <f aca="false">IF(R193="","",INDEX($B$2:$B$231,MATCH(R193,$A$2:$A$231,0))&amp;" "&amp;INDEX($C$2:$C$231,MATCH(R193,$A$2:$A$231,0)))</f>
        <v>Simon Rasmussen</v>
      </c>
      <c r="T193" s="3" t="s">
        <v>34</v>
      </c>
      <c r="U193" s="3" t="str">
        <f aca="false">H193&amp;" | "&amp;G193</f>
        <v>Real Estate, Environmental &amp; Safety | Lawyer - Leadership</v>
      </c>
    </row>
    <row r="194" customFormat="false" ht="15" hidden="false" customHeight="true" outlineLevel="0" collapsed="false">
      <c r="A194" s="3" t="s">
        <v>676</v>
      </c>
      <c r="B194" s="3" t="s">
        <v>644</v>
      </c>
      <c r="C194" s="3" t="s">
        <v>320</v>
      </c>
      <c r="D194" s="3" t="s">
        <v>677</v>
      </c>
      <c r="E194" s="3" t="s">
        <v>58</v>
      </c>
      <c r="F194" s="3" t="s">
        <v>59</v>
      </c>
      <c r="G194" s="3" t="s">
        <v>60</v>
      </c>
      <c r="H194" s="3" t="s">
        <v>675</v>
      </c>
      <c r="I194" s="3"/>
      <c r="J194" s="3" t="s">
        <v>95</v>
      </c>
      <c r="K194" s="3" t="s">
        <v>30</v>
      </c>
      <c r="L194" s="3" t="s">
        <v>31</v>
      </c>
      <c r="M194" s="3" t="s">
        <v>90</v>
      </c>
      <c r="N194" s="3" t="s">
        <v>124</v>
      </c>
      <c r="O194" s="4" t="n">
        <v>43579</v>
      </c>
      <c r="P194" s="3" t="n">
        <f aca="false">ROUND((About!$B$3-O194)/365.25,1)</f>
        <v>7.4</v>
      </c>
      <c r="Q194" s="3" t="str">
        <f aca="false">IF(O194&gt;About!$B$4,"Yes","No")</f>
        <v>No</v>
      </c>
      <c r="R194" s="3" t="s">
        <v>672</v>
      </c>
      <c r="S194" s="3" t="str">
        <f aca="false">IF(R194="","",INDEX($B$2:$B$231,MATCH(R194,$A$2:$A$231,0))&amp;" "&amp;INDEX($C$2:$C$231,MATCH(R194,$A$2:$A$231,0)))</f>
        <v>Malik Blackwood</v>
      </c>
      <c r="T194" s="3" t="s">
        <v>34</v>
      </c>
      <c r="U194" s="3" t="str">
        <f aca="false">H194&amp;" | "&amp;G194</f>
        <v>Real Estate, Environmental &amp; Safety | Lawyer - Junior</v>
      </c>
    </row>
    <row r="195" customFormat="false" ht="15" hidden="false" customHeight="true" outlineLevel="0" collapsed="false">
      <c r="A195" s="3" t="s">
        <v>678</v>
      </c>
      <c r="B195" s="3" t="s">
        <v>223</v>
      </c>
      <c r="C195" s="3" t="s">
        <v>664</v>
      </c>
      <c r="D195" s="3" t="s">
        <v>679</v>
      </c>
      <c r="E195" s="3" t="s">
        <v>72</v>
      </c>
      <c r="F195" s="3" t="s">
        <v>73</v>
      </c>
      <c r="G195" s="3" t="s">
        <v>74</v>
      </c>
      <c r="H195" s="3" t="s">
        <v>675</v>
      </c>
      <c r="I195" s="3"/>
      <c r="J195" s="3" t="s">
        <v>29</v>
      </c>
      <c r="K195" s="3" t="s">
        <v>30</v>
      </c>
      <c r="L195" s="3" t="s">
        <v>31</v>
      </c>
      <c r="M195" s="3" t="s">
        <v>32</v>
      </c>
      <c r="N195" s="3" t="s">
        <v>33</v>
      </c>
      <c r="O195" s="4" t="n">
        <v>45927</v>
      </c>
      <c r="P195" s="3" t="n">
        <f aca="false">ROUND((About!$B$3-O195)/365.25,1)</f>
        <v>1</v>
      </c>
      <c r="Q195" s="3" t="str">
        <f aca="false">IF(O195&gt;About!$B$4,"Yes","No")</f>
        <v>Yes</v>
      </c>
      <c r="R195" s="3" t="s">
        <v>672</v>
      </c>
      <c r="S195" s="3" t="str">
        <f aca="false">IF(R195="","",INDEX($B$2:$B$231,MATCH(R195,$A$2:$A$231,0))&amp;" "&amp;INDEX($C$2:$C$231,MATCH(R195,$A$2:$A$231,0)))</f>
        <v>Malik Blackwood</v>
      </c>
      <c r="T195" s="3" t="s">
        <v>34</v>
      </c>
      <c r="U195" s="3" t="str">
        <f aca="false">H195&amp;" | "&amp;G195</f>
        <v>Real Estate, Environmental &amp; Safety | Lawyer - Mid</v>
      </c>
    </row>
    <row r="196" customFormat="false" ht="15" hidden="false" customHeight="true" outlineLevel="0" collapsed="false">
      <c r="A196" s="3" t="s">
        <v>680</v>
      </c>
      <c r="B196" s="3" t="s">
        <v>502</v>
      </c>
      <c r="C196" s="3" t="s">
        <v>568</v>
      </c>
      <c r="D196" s="3" t="s">
        <v>681</v>
      </c>
      <c r="E196" s="3" t="s">
        <v>72</v>
      </c>
      <c r="F196" s="3" t="s">
        <v>73</v>
      </c>
      <c r="G196" s="3" t="s">
        <v>74</v>
      </c>
      <c r="H196" s="3" t="s">
        <v>675</v>
      </c>
      <c r="I196" s="3"/>
      <c r="J196" s="3" t="s">
        <v>29</v>
      </c>
      <c r="K196" s="3" t="s">
        <v>30</v>
      </c>
      <c r="L196" s="3" t="s">
        <v>31</v>
      </c>
      <c r="M196" s="3" t="s">
        <v>32</v>
      </c>
      <c r="N196" s="3" t="s">
        <v>33</v>
      </c>
      <c r="O196" s="4" t="n">
        <v>42432</v>
      </c>
      <c r="P196" s="3" t="n">
        <f aca="false">ROUND((About!$B$3-O196)/365.25,1)</f>
        <v>10.5</v>
      </c>
      <c r="Q196" s="3" t="str">
        <f aca="false">IF(O196&gt;About!$B$4,"Yes","No")</f>
        <v>No</v>
      </c>
      <c r="R196" s="3" t="s">
        <v>672</v>
      </c>
      <c r="S196" s="3" t="str">
        <f aca="false">IF(R196="","",INDEX($B$2:$B$231,MATCH(R196,$A$2:$A$231,0))&amp;" "&amp;INDEX($C$2:$C$231,MATCH(R196,$A$2:$A$231,0)))</f>
        <v>Malik Blackwood</v>
      </c>
      <c r="T196" s="3" t="s">
        <v>34</v>
      </c>
      <c r="U196" s="3" t="str">
        <f aca="false">H196&amp;" | "&amp;G196</f>
        <v>Real Estate, Environmental &amp; Safety | Lawyer - Mid</v>
      </c>
    </row>
    <row r="197" customFormat="false" ht="15" hidden="false" customHeight="true" outlineLevel="0" collapsed="false">
      <c r="A197" s="3" t="s">
        <v>682</v>
      </c>
      <c r="B197" s="3" t="s">
        <v>683</v>
      </c>
      <c r="C197" s="3" t="s">
        <v>372</v>
      </c>
      <c r="D197" s="3" t="s">
        <v>684</v>
      </c>
      <c r="E197" s="3" t="s">
        <v>72</v>
      </c>
      <c r="F197" s="3" t="s">
        <v>73</v>
      </c>
      <c r="G197" s="3" t="s">
        <v>74</v>
      </c>
      <c r="H197" s="3" t="s">
        <v>675</v>
      </c>
      <c r="I197" s="3"/>
      <c r="J197" s="3" t="s">
        <v>29</v>
      </c>
      <c r="K197" s="3" t="s">
        <v>30</v>
      </c>
      <c r="L197" s="3" t="s">
        <v>31</v>
      </c>
      <c r="M197" s="3" t="s">
        <v>32</v>
      </c>
      <c r="N197" s="3" t="s">
        <v>33</v>
      </c>
      <c r="O197" s="4" t="n">
        <v>45851</v>
      </c>
      <c r="P197" s="3" t="n">
        <f aca="false">ROUND((About!$B$3-O197)/365.25,1)</f>
        <v>1.2</v>
      </c>
      <c r="Q197" s="3" t="str">
        <f aca="false">IF(O197&gt;About!$B$4,"Yes","No")</f>
        <v>Yes</v>
      </c>
      <c r="R197" s="3" t="s">
        <v>672</v>
      </c>
      <c r="S197" s="3" t="str">
        <f aca="false">IF(R197="","",INDEX($B$2:$B$231,MATCH(R197,$A$2:$A$231,0))&amp;" "&amp;INDEX($C$2:$C$231,MATCH(R197,$A$2:$A$231,0)))</f>
        <v>Malik Blackwood</v>
      </c>
      <c r="T197" s="3" t="s">
        <v>34</v>
      </c>
      <c r="U197" s="3" t="str">
        <f aca="false">H197&amp;" | "&amp;G197</f>
        <v>Real Estate, Environmental &amp; Safety | Lawyer - Mid</v>
      </c>
    </row>
    <row r="198" customFormat="false" ht="15" hidden="false" customHeight="true" outlineLevel="0" collapsed="false">
      <c r="A198" s="3" t="s">
        <v>685</v>
      </c>
      <c r="B198" s="3" t="s">
        <v>686</v>
      </c>
      <c r="C198" s="3" t="s">
        <v>188</v>
      </c>
      <c r="D198" s="3" t="s">
        <v>687</v>
      </c>
      <c r="E198" s="3" t="s">
        <v>58</v>
      </c>
      <c r="F198" s="3" t="s">
        <v>59</v>
      </c>
      <c r="G198" s="3" t="s">
        <v>60</v>
      </c>
      <c r="H198" s="3" t="s">
        <v>675</v>
      </c>
      <c r="I198" s="3"/>
      <c r="J198" s="3" t="s">
        <v>29</v>
      </c>
      <c r="K198" s="3" t="s">
        <v>30</v>
      </c>
      <c r="L198" s="3" t="s">
        <v>31</v>
      </c>
      <c r="M198" s="3" t="s">
        <v>32</v>
      </c>
      <c r="N198" s="3" t="s">
        <v>33</v>
      </c>
      <c r="O198" s="4" t="n">
        <v>44232</v>
      </c>
      <c r="P198" s="3" t="n">
        <f aca="false">ROUND((About!$B$3-O198)/365.25,1)</f>
        <v>5.6</v>
      </c>
      <c r="Q198" s="3" t="str">
        <f aca="false">IF(O198&gt;About!$B$4,"Yes","No")</f>
        <v>No</v>
      </c>
      <c r="R198" s="3" t="s">
        <v>672</v>
      </c>
      <c r="S198" s="3" t="str">
        <f aca="false">IF(R198="","",INDEX($B$2:$B$231,MATCH(R198,$A$2:$A$231,0))&amp;" "&amp;INDEX($C$2:$C$231,MATCH(R198,$A$2:$A$231,0)))</f>
        <v>Malik Blackwood</v>
      </c>
      <c r="T198" s="3" t="s">
        <v>34</v>
      </c>
      <c r="U198" s="3" t="str">
        <f aca="false">H198&amp;" | "&amp;G198</f>
        <v>Real Estate, Environmental &amp; Safety | Lawyer - Junior</v>
      </c>
    </row>
    <row r="199" customFormat="false" ht="15" hidden="false" customHeight="true" outlineLevel="0" collapsed="false">
      <c r="A199" s="3" t="s">
        <v>688</v>
      </c>
      <c r="B199" s="3" t="s">
        <v>588</v>
      </c>
      <c r="C199" s="3" t="s">
        <v>114</v>
      </c>
      <c r="D199" s="3" t="s">
        <v>689</v>
      </c>
      <c r="E199" s="3" t="s">
        <v>116</v>
      </c>
      <c r="F199" s="3" t="s">
        <v>117</v>
      </c>
      <c r="G199" s="3" t="s">
        <v>118</v>
      </c>
      <c r="H199" s="3" t="s">
        <v>675</v>
      </c>
      <c r="I199" s="3"/>
      <c r="J199" s="3" t="s">
        <v>95</v>
      </c>
      <c r="K199" s="3" t="s">
        <v>30</v>
      </c>
      <c r="L199" s="3" t="s">
        <v>31</v>
      </c>
      <c r="M199" s="3" t="s">
        <v>90</v>
      </c>
      <c r="N199" s="3" t="s">
        <v>33</v>
      </c>
      <c r="O199" s="4" t="n">
        <v>45422</v>
      </c>
      <c r="P199" s="3" t="n">
        <f aca="false">ROUND((About!$B$3-O199)/365.25,1)</f>
        <v>2.3</v>
      </c>
      <c r="Q199" s="3" t="str">
        <f aca="false">IF(O199&gt;About!$B$4,"Yes","No")</f>
        <v>Yes</v>
      </c>
      <c r="R199" s="3" t="s">
        <v>672</v>
      </c>
      <c r="S199" s="3" t="str">
        <f aca="false">IF(R199="","",INDEX($B$2:$B$231,MATCH(R199,$A$2:$A$231,0))&amp;" "&amp;INDEX($C$2:$C$231,MATCH(R199,$A$2:$A$231,0)))</f>
        <v>Malik Blackwood</v>
      </c>
      <c r="T199" s="3" t="s">
        <v>34</v>
      </c>
      <c r="U199" s="3" t="str">
        <f aca="false">H199&amp;" | "&amp;G199</f>
        <v>Real Estate, Environmental &amp; Safety | Lawyer - Senior</v>
      </c>
    </row>
    <row r="200" customFormat="false" ht="15" hidden="false" customHeight="true" outlineLevel="0" collapsed="false">
      <c r="A200" s="3" t="s">
        <v>690</v>
      </c>
      <c r="B200" s="3" t="s">
        <v>691</v>
      </c>
      <c r="C200" s="3" t="s">
        <v>692</v>
      </c>
      <c r="D200" s="3" t="s">
        <v>693</v>
      </c>
      <c r="E200" s="3" t="s">
        <v>58</v>
      </c>
      <c r="F200" s="3" t="s">
        <v>59</v>
      </c>
      <c r="G200" s="3" t="s">
        <v>60</v>
      </c>
      <c r="H200" s="3" t="s">
        <v>675</v>
      </c>
      <c r="I200" s="3"/>
      <c r="J200" s="3" t="s">
        <v>29</v>
      </c>
      <c r="K200" s="3" t="s">
        <v>30</v>
      </c>
      <c r="L200" s="3" t="s">
        <v>31</v>
      </c>
      <c r="M200" s="3" t="s">
        <v>32</v>
      </c>
      <c r="N200" s="3" t="s">
        <v>33</v>
      </c>
      <c r="O200" s="4" t="n">
        <v>38559</v>
      </c>
      <c r="P200" s="3" t="n">
        <f aca="false">ROUND((About!$B$3-O200)/365.25,1)</f>
        <v>21.1</v>
      </c>
      <c r="Q200" s="3" t="str">
        <f aca="false">IF(O200&gt;About!$B$4,"Yes","No")</f>
        <v>No</v>
      </c>
      <c r="R200" s="3" t="s">
        <v>672</v>
      </c>
      <c r="S200" s="3" t="str">
        <f aca="false">IF(R200="","",INDEX($B$2:$B$231,MATCH(R200,$A$2:$A$231,0))&amp;" "&amp;INDEX($C$2:$C$231,MATCH(R200,$A$2:$A$231,0)))</f>
        <v>Malik Blackwood</v>
      </c>
      <c r="T200" s="3" t="s">
        <v>34</v>
      </c>
      <c r="U200" s="3" t="str">
        <f aca="false">H200&amp;" | "&amp;G200</f>
        <v>Real Estate, Environmental &amp; Safety | Lawyer - Junior</v>
      </c>
    </row>
    <row r="201" customFormat="false" ht="15" hidden="false" customHeight="true" outlineLevel="0" collapsed="false">
      <c r="A201" s="3" t="s">
        <v>694</v>
      </c>
      <c r="B201" s="3" t="s">
        <v>695</v>
      </c>
      <c r="C201" s="3" t="s">
        <v>155</v>
      </c>
      <c r="D201" s="3" t="s">
        <v>696</v>
      </c>
      <c r="E201" s="3" t="s">
        <v>72</v>
      </c>
      <c r="F201" s="3" t="s">
        <v>73</v>
      </c>
      <c r="G201" s="3" t="s">
        <v>74</v>
      </c>
      <c r="H201" s="3" t="s">
        <v>675</v>
      </c>
      <c r="I201" s="3"/>
      <c r="J201" s="3" t="s">
        <v>29</v>
      </c>
      <c r="K201" s="3" t="s">
        <v>30</v>
      </c>
      <c r="L201" s="3" t="s">
        <v>31</v>
      </c>
      <c r="M201" s="3" t="s">
        <v>32</v>
      </c>
      <c r="N201" s="3" t="s">
        <v>42</v>
      </c>
      <c r="O201" s="4" t="n">
        <v>45160</v>
      </c>
      <c r="P201" s="3" t="n">
        <f aca="false">ROUND((About!$B$3-O201)/365.25,1)</f>
        <v>3</v>
      </c>
      <c r="Q201" s="3" t="str">
        <f aca="false">IF(O201&gt;About!$B$4,"Yes","No")</f>
        <v>No</v>
      </c>
      <c r="R201" s="3" t="s">
        <v>672</v>
      </c>
      <c r="S201" s="3" t="str">
        <f aca="false">IF(R201="","",INDEX($B$2:$B$231,MATCH(R201,$A$2:$A$231,0))&amp;" "&amp;INDEX($C$2:$C$231,MATCH(R201,$A$2:$A$231,0)))</f>
        <v>Malik Blackwood</v>
      </c>
      <c r="T201" s="3" t="s">
        <v>34</v>
      </c>
      <c r="U201" s="3" t="str">
        <f aca="false">H201&amp;" | "&amp;G201</f>
        <v>Real Estate, Environmental &amp; Safety | Lawyer - Mid</v>
      </c>
    </row>
    <row r="202" customFormat="false" ht="15" hidden="false" customHeight="true" outlineLevel="0" collapsed="false">
      <c r="A202" s="3" t="s">
        <v>697</v>
      </c>
      <c r="B202" s="3" t="s">
        <v>48</v>
      </c>
      <c r="C202" s="3" t="s">
        <v>372</v>
      </c>
      <c r="D202" s="3" t="s">
        <v>698</v>
      </c>
      <c r="E202" s="3" t="s">
        <v>116</v>
      </c>
      <c r="F202" s="3" t="s">
        <v>117</v>
      </c>
      <c r="G202" s="3" t="s">
        <v>118</v>
      </c>
      <c r="H202" s="3" t="s">
        <v>675</v>
      </c>
      <c r="I202" s="3"/>
      <c r="J202" s="3" t="s">
        <v>29</v>
      </c>
      <c r="K202" s="3" t="s">
        <v>30</v>
      </c>
      <c r="L202" s="3" t="s">
        <v>31</v>
      </c>
      <c r="M202" s="3" t="s">
        <v>32</v>
      </c>
      <c r="N202" s="3" t="s">
        <v>124</v>
      </c>
      <c r="O202" s="4" t="n">
        <v>43229</v>
      </c>
      <c r="P202" s="3" t="n">
        <f aca="false">ROUND((About!$B$3-O202)/365.25,1)</f>
        <v>8.3</v>
      </c>
      <c r="Q202" s="3" t="str">
        <f aca="false">IF(O202&gt;About!$B$4,"Yes","No")</f>
        <v>No</v>
      </c>
      <c r="R202" s="3" t="s">
        <v>672</v>
      </c>
      <c r="S202" s="3" t="str">
        <f aca="false">IF(R202="","",INDEX($B$2:$B$231,MATCH(R202,$A$2:$A$231,0))&amp;" "&amp;INDEX($C$2:$C$231,MATCH(R202,$A$2:$A$231,0)))</f>
        <v>Malik Blackwood</v>
      </c>
      <c r="T202" s="3" t="s">
        <v>34</v>
      </c>
      <c r="U202" s="3" t="str">
        <f aca="false">H202&amp;" | "&amp;G202</f>
        <v>Real Estate, Environmental &amp; Safety | Lawyer - Senior</v>
      </c>
    </row>
    <row r="203" customFormat="false" ht="15" hidden="false" customHeight="true" outlineLevel="0" collapsed="false">
      <c r="A203" s="3" t="s">
        <v>699</v>
      </c>
      <c r="B203" s="3" t="s">
        <v>168</v>
      </c>
      <c r="C203" s="3" t="s">
        <v>418</v>
      </c>
      <c r="D203" s="3" t="s">
        <v>700</v>
      </c>
      <c r="E203" s="3" t="s">
        <v>241</v>
      </c>
      <c r="F203" s="3" t="s">
        <v>195</v>
      </c>
      <c r="G203" s="3" t="s">
        <v>196</v>
      </c>
      <c r="H203" s="3" t="s">
        <v>675</v>
      </c>
      <c r="I203" s="3" t="s">
        <v>221</v>
      </c>
      <c r="J203" s="3" t="s">
        <v>29</v>
      </c>
      <c r="K203" s="3" t="s">
        <v>30</v>
      </c>
      <c r="L203" s="3" t="s">
        <v>31</v>
      </c>
      <c r="M203" s="3" t="s">
        <v>32</v>
      </c>
      <c r="N203" s="3" t="s">
        <v>33</v>
      </c>
      <c r="O203" s="4" t="n">
        <v>43470</v>
      </c>
      <c r="P203" s="3" t="n">
        <f aca="false">ROUND((About!$B$3-O203)/365.25,1)</f>
        <v>7.7</v>
      </c>
      <c r="Q203" s="3" t="str">
        <f aca="false">IF(O203&gt;About!$B$4,"Yes","No")</f>
        <v>No</v>
      </c>
      <c r="R203" s="3" t="s">
        <v>215</v>
      </c>
      <c r="S203" s="3" t="str">
        <f aca="false">IF(R203="","",INDEX($B$2:$B$231,MATCH(R203,$A$2:$A$231,0))&amp;" "&amp;INDEX($C$2:$C$231,MATCH(R203,$A$2:$A$231,0)))</f>
        <v>Daniel Ellison</v>
      </c>
      <c r="T203" s="3" t="s">
        <v>34</v>
      </c>
      <c r="U203" s="3" t="str">
        <f aca="false">H203&amp;" | "&amp;G203</f>
        <v>Real Estate, Environmental &amp; Safety | Paraprofessional</v>
      </c>
    </row>
    <row r="204" customFormat="false" ht="15" hidden="false" customHeight="true" outlineLevel="0" collapsed="false">
      <c r="A204" s="3" t="s">
        <v>701</v>
      </c>
      <c r="B204" s="3" t="s">
        <v>588</v>
      </c>
      <c r="C204" s="3" t="s">
        <v>702</v>
      </c>
      <c r="D204" s="3" t="s">
        <v>703</v>
      </c>
      <c r="E204" s="3" t="s">
        <v>241</v>
      </c>
      <c r="F204" s="3" t="s">
        <v>195</v>
      </c>
      <c r="G204" s="3" t="s">
        <v>196</v>
      </c>
      <c r="H204" s="3" t="s">
        <v>675</v>
      </c>
      <c r="I204" s="3" t="s">
        <v>221</v>
      </c>
      <c r="J204" s="3" t="s">
        <v>89</v>
      </c>
      <c r="K204" s="3" t="s">
        <v>30</v>
      </c>
      <c r="L204" s="3" t="s">
        <v>31</v>
      </c>
      <c r="M204" s="3" t="s">
        <v>90</v>
      </c>
      <c r="N204" s="3" t="s">
        <v>33</v>
      </c>
      <c r="O204" s="4" t="n">
        <v>43460</v>
      </c>
      <c r="P204" s="3" t="n">
        <f aca="false">ROUND((About!$B$3-O204)/365.25,1)</f>
        <v>7.7</v>
      </c>
      <c r="Q204" s="3" t="str">
        <f aca="false">IF(O204&gt;About!$B$4,"Yes","No")</f>
        <v>No</v>
      </c>
      <c r="R204" s="3" t="s">
        <v>215</v>
      </c>
      <c r="S204" s="3" t="str">
        <f aca="false">IF(R204="","",INDEX($B$2:$B$231,MATCH(R204,$A$2:$A$231,0))&amp;" "&amp;INDEX($C$2:$C$231,MATCH(R204,$A$2:$A$231,0)))</f>
        <v>Daniel Ellison</v>
      </c>
      <c r="T204" s="3" t="s">
        <v>34</v>
      </c>
      <c r="U204" s="3" t="str">
        <f aca="false">H204&amp;" | "&amp;G204</f>
        <v>Real Estate, Environmental &amp; Safety | Paraprofessional</v>
      </c>
    </row>
    <row r="205" customFormat="false" ht="15" hidden="false" customHeight="true" outlineLevel="0" collapsed="false">
      <c r="A205" s="3" t="s">
        <v>704</v>
      </c>
      <c r="B205" s="3" t="s">
        <v>283</v>
      </c>
      <c r="C205" s="3" t="s">
        <v>261</v>
      </c>
      <c r="D205" s="3" t="s">
        <v>705</v>
      </c>
      <c r="E205" s="3" t="s">
        <v>39</v>
      </c>
      <c r="F205" s="3" t="s">
        <v>40</v>
      </c>
      <c r="G205" s="3" t="s">
        <v>39</v>
      </c>
      <c r="H205" s="3" t="s">
        <v>675</v>
      </c>
      <c r="I205" s="3" t="s">
        <v>41</v>
      </c>
      <c r="J205" s="3" t="s">
        <v>29</v>
      </c>
      <c r="K205" s="3" t="s">
        <v>30</v>
      </c>
      <c r="L205" s="3" t="s">
        <v>31</v>
      </c>
      <c r="M205" s="3" t="s">
        <v>32</v>
      </c>
      <c r="N205" s="3" t="s">
        <v>33</v>
      </c>
      <c r="O205" s="4" t="n">
        <v>40316</v>
      </c>
      <c r="P205" s="3" t="n">
        <f aca="false">ROUND((About!$B$3-O205)/365.25,1)</f>
        <v>16.3</v>
      </c>
      <c r="Q205" s="3" t="str">
        <f aca="false">IF(O205&gt;About!$B$4,"Yes","No")</f>
        <v>No</v>
      </c>
      <c r="R205" s="3" t="s">
        <v>672</v>
      </c>
      <c r="S205" s="3" t="str">
        <f aca="false">IF(R205="","",INDEX($B$2:$B$231,MATCH(R205,$A$2:$A$231,0))&amp;" "&amp;INDEX($C$2:$C$231,MATCH(R205,$A$2:$A$231,0)))</f>
        <v>Malik Blackwood</v>
      </c>
      <c r="T205" s="3" t="s">
        <v>34</v>
      </c>
      <c r="U205" s="3" t="str">
        <f aca="false">H205&amp;" | "&amp;G205</f>
        <v>Real Estate, Environmental &amp; Safety | Executive Assistant</v>
      </c>
    </row>
    <row r="206" customFormat="false" ht="15" hidden="false" customHeight="true" outlineLevel="0" collapsed="false">
      <c r="A206" s="3" t="s">
        <v>706</v>
      </c>
      <c r="B206" s="3" t="s">
        <v>359</v>
      </c>
      <c r="C206" s="3" t="s">
        <v>201</v>
      </c>
      <c r="D206" s="3" t="s">
        <v>707</v>
      </c>
      <c r="E206" s="3" t="s">
        <v>708</v>
      </c>
      <c r="F206" s="3" t="s">
        <v>709</v>
      </c>
      <c r="G206" s="3" t="s">
        <v>710</v>
      </c>
      <c r="H206" s="3" t="s">
        <v>711</v>
      </c>
      <c r="I206" s="3" t="s">
        <v>711</v>
      </c>
      <c r="J206" s="3" t="s">
        <v>29</v>
      </c>
      <c r="K206" s="3" t="s">
        <v>30</v>
      </c>
      <c r="L206" s="3" t="s">
        <v>31</v>
      </c>
      <c r="M206" s="3" t="s">
        <v>32</v>
      </c>
      <c r="N206" s="3" t="s">
        <v>33</v>
      </c>
      <c r="O206" s="4" t="n">
        <v>43319</v>
      </c>
      <c r="P206" s="3" t="n">
        <f aca="false">ROUND((About!$B$3-O206)/365.25,1)</f>
        <v>8.1</v>
      </c>
      <c r="Q206" s="3" t="str">
        <f aca="false">IF(O206&gt;About!$B$4,"Yes","No")</f>
        <v>No</v>
      </c>
      <c r="R206" s="3" t="s">
        <v>21</v>
      </c>
      <c r="S206" s="3" t="str">
        <f aca="false">IF(R206="","",INDEX($B$2:$B$231,MATCH(R206,$A$2:$A$231,0))&amp;" "&amp;INDEX($C$2:$C$231,MATCH(R206,$A$2:$A$231,0)))</f>
        <v>Simon Rasmussen</v>
      </c>
      <c r="T206" s="3" t="s">
        <v>34</v>
      </c>
      <c r="U206" s="3" t="str">
        <f aca="false">H206&amp;" | "&amp;G206</f>
        <v>Legal Operations | Legal Ops - Leadership</v>
      </c>
    </row>
    <row r="207" customFormat="false" ht="15" hidden="false" customHeight="true" outlineLevel="0" collapsed="false">
      <c r="A207" s="3" t="s">
        <v>712</v>
      </c>
      <c r="B207" s="3" t="s">
        <v>713</v>
      </c>
      <c r="C207" s="3" t="s">
        <v>714</v>
      </c>
      <c r="D207" s="3" t="s">
        <v>715</v>
      </c>
      <c r="E207" s="3" t="s">
        <v>716</v>
      </c>
      <c r="F207" s="3" t="s">
        <v>709</v>
      </c>
      <c r="G207" s="3" t="s">
        <v>710</v>
      </c>
      <c r="H207" s="3" t="s">
        <v>711</v>
      </c>
      <c r="I207" s="3" t="s">
        <v>711</v>
      </c>
      <c r="J207" s="3" t="s">
        <v>29</v>
      </c>
      <c r="K207" s="3" t="s">
        <v>30</v>
      </c>
      <c r="L207" s="3" t="s">
        <v>31</v>
      </c>
      <c r="M207" s="3" t="s">
        <v>32</v>
      </c>
      <c r="N207" s="3" t="s">
        <v>33</v>
      </c>
      <c r="O207" s="4" t="n">
        <v>39869</v>
      </c>
      <c r="P207" s="3" t="n">
        <f aca="false">ROUND((About!$B$3-O207)/365.25,1)</f>
        <v>17.5</v>
      </c>
      <c r="Q207" s="3" t="str">
        <f aca="false">IF(O207&gt;About!$B$4,"Yes","No")</f>
        <v>No</v>
      </c>
      <c r="R207" s="3" t="s">
        <v>706</v>
      </c>
      <c r="S207" s="3" t="str">
        <f aca="false">IF(R207="","",INDEX($B$2:$B$231,MATCH(R207,$A$2:$A$231,0))&amp;" "&amp;INDEX($C$2:$C$231,MATCH(R207,$A$2:$A$231,0)))</f>
        <v>Theo Sinclair</v>
      </c>
      <c r="T207" s="3" t="s">
        <v>34</v>
      </c>
      <c r="U207" s="3" t="str">
        <f aca="false">H207&amp;" | "&amp;G207</f>
        <v>Legal Operations | Legal Ops - Leadership</v>
      </c>
    </row>
    <row r="208" customFormat="false" ht="15" hidden="false" customHeight="true" outlineLevel="0" collapsed="false">
      <c r="A208" s="3" t="s">
        <v>717</v>
      </c>
      <c r="B208" s="3" t="s">
        <v>547</v>
      </c>
      <c r="C208" s="3" t="s">
        <v>98</v>
      </c>
      <c r="D208" s="3" t="s">
        <v>718</v>
      </c>
      <c r="E208" s="3" t="s">
        <v>716</v>
      </c>
      <c r="F208" s="3" t="s">
        <v>709</v>
      </c>
      <c r="G208" s="3" t="s">
        <v>710</v>
      </c>
      <c r="H208" s="3" t="s">
        <v>711</v>
      </c>
      <c r="I208" s="3" t="s">
        <v>711</v>
      </c>
      <c r="J208" s="3" t="s">
        <v>137</v>
      </c>
      <c r="K208" s="3" t="s">
        <v>30</v>
      </c>
      <c r="L208" s="3" t="s">
        <v>31</v>
      </c>
      <c r="M208" s="3" t="s">
        <v>90</v>
      </c>
      <c r="N208" s="3" t="s">
        <v>124</v>
      </c>
      <c r="O208" s="4" t="n">
        <v>42687</v>
      </c>
      <c r="P208" s="3" t="n">
        <f aca="false">ROUND((About!$B$3-O208)/365.25,1)</f>
        <v>9.8</v>
      </c>
      <c r="Q208" s="3" t="str">
        <f aca="false">IF(O208&gt;About!$B$4,"Yes","No")</f>
        <v>No</v>
      </c>
      <c r="R208" s="3" t="s">
        <v>706</v>
      </c>
      <c r="S208" s="3" t="str">
        <f aca="false">IF(R208="","",INDEX($B$2:$B$231,MATCH(R208,$A$2:$A$231,0))&amp;" "&amp;INDEX($C$2:$C$231,MATCH(R208,$A$2:$A$231,0)))</f>
        <v>Theo Sinclair</v>
      </c>
      <c r="T208" s="3" t="s">
        <v>34</v>
      </c>
      <c r="U208" s="3" t="str">
        <f aca="false">H208&amp;" | "&amp;G208</f>
        <v>Legal Operations | Legal Ops - Leadership</v>
      </c>
    </row>
    <row r="209" customFormat="false" ht="15" hidden="false" customHeight="true" outlineLevel="0" collapsed="false">
      <c r="A209" s="3" t="s">
        <v>719</v>
      </c>
      <c r="B209" s="3" t="s">
        <v>86</v>
      </c>
      <c r="C209" s="3" t="s">
        <v>720</v>
      </c>
      <c r="D209" s="3" t="s">
        <v>721</v>
      </c>
      <c r="E209" s="3" t="s">
        <v>716</v>
      </c>
      <c r="F209" s="3" t="s">
        <v>709</v>
      </c>
      <c r="G209" s="3" t="s">
        <v>710</v>
      </c>
      <c r="H209" s="3" t="s">
        <v>711</v>
      </c>
      <c r="I209" s="3" t="s">
        <v>711</v>
      </c>
      <c r="J209" s="3" t="s">
        <v>111</v>
      </c>
      <c r="K209" s="3" t="s">
        <v>30</v>
      </c>
      <c r="L209" s="3" t="s">
        <v>31</v>
      </c>
      <c r="M209" s="3" t="s">
        <v>90</v>
      </c>
      <c r="N209" s="3" t="s">
        <v>42</v>
      </c>
      <c r="O209" s="4" t="n">
        <v>39802</v>
      </c>
      <c r="P209" s="3" t="n">
        <f aca="false">ROUND((About!$B$3-O209)/365.25,1)</f>
        <v>17.7</v>
      </c>
      <c r="Q209" s="3" t="str">
        <f aca="false">IF(O209&gt;About!$B$4,"Yes","No")</f>
        <v>No</v>
      </c>
      <c r="R209" s="3" t="s">
        <v>706</v>
      </c>
      <c r="S209" s="3" t="str">
        <f aca="false">IF(R209="","",INDEX($B$2:$B$231,MATCH(R209,$A$2:$A$231,0))&amp;" "&amp;INDEX($C$2:$C$231,MATCH(R209,$A$2:$A$231,0)))</f>
        <v>Theo Sinclair</v>
      </c>
      <c r="T209" s="3" t="s">
        <v>34</v>
      </c>
      <c r="U209" s="3" t="str">
        <f aca="false">H209&amp;" | "&amp;G209</f>
        <v>Legal Operations | Legal Ops - Leadership</v>
      </c>
    </row>
    <row r="210" customFormat="false" ht="15" hidden="false" customHeight="true" outlineLevel="0" collapsed="false">
      <c r="A210" s="3" t="s">
        <v>722</v>
      </c>
      <c r="B210" s="3" t="s">
        <v>113</v>
      </c>
      <c r="C210" s="3" t="s">
        <v>209</v>
      </c>
      <c r="D210" s="3" t="s">
        <v>723</v>
      </c>
      <c r="E210" s="3" t="s">
        <v>724</v>
      </c>
      <c r="F210" s="3" t="s">
        <v>725</v>
      </c>
      <c r="G210" s="3" t="s">
        <v>726</v>
      </c>
      <c r="H210" s="3" t="s">
        <v>711</v>
      </c>
      <c r="I210" s="3" t="s">
        <v>711</v>
      </c>
      <c r="J210" s="3" t="s">
        <v>29</v>
      </c>
      <c r="K210" s="3" t="s">
        <v>30</v>
      </c>
      <c r="L210" s="3" t="s">
        <v>31</v>
      </c>
      <c r="M210" s="3" t="s">
        <v>32</v>
      </c>
      <c r="N210" s="3" t="s">
        <v>42</v>
      </c>
      <c r="O210" s="4" t="n">
        <v>45444</v>
      </c>
      <c r="P210" s="3" t="n">
        <f aca="false">ROUND((About!$B$3-O210)/365.25,1)</f>
        <v>2.3</v>
      </c>
      <c r="Q210" s="3" t="str">
        <f aca="false">IF(O210&gt;About!$B$4,"Yes","No")</f>
        <v>Yes</v>
      </c>
      <c r="R210" s="3" t="s">
        <v>712</v>
      </c>
      <c r="S210" s="3" t="str">
        <f aca="false">IF(R210="","",INDEX($B$2:$B$231,MATCH(R210,$A$2:$A$231,0))&amp;" "&amp;INDEX($C$2:$C$231,MATCH(R210,$A$2:$A$231,0)))</f>
        <v>Tobias Pellegrini</v>
      </c>
      <c r="T210" s="3" t="s">
        <v>34</v>
      </c>
      <c r="U210" s="3" t="str">
        <f aca="false">H210&amp;" | "&amp;G210</f>
        <v>Legal Operations | Legal Ops - Staff</v>
      </c>
    </row>
    <row r="211" customFormat="false" ht="15" hidden="false" customHeight="true" outlineLevel="0" collapsed="false">
      <c r="A211" s="3" t="s">
        <v>727</v>
      </c>
      <c r="B211" s="3" t="s">
        <v>260</v>
      </c>
      <c r="C211" s="3" t="s">
        <v>728</v>
      </c>
      <c r="D211" s="3" t="s">
        <v>729</v>
      </c>
      <c r="E211" s="3" t="s">
        <v>724</v>
      </c>
      <c r="F211" s="3" t="s">
        <v>725</v>
      </c>
      <c r="G211" s="3" t="s">
        <v>726</v>
      </c>
      <c r="H211" s="3" t="s">
        <v>711</v>
      </c>
      <c r="I211" s="3" t="s">
        <v>711</v>
      </c>
      <c r="J211" s="3" t="s">
        <v>111</v>
      </c>
      <c r="K211" s="3" t="s">
        <v>30</v>
      </c>
      <c r="L211" s="3" t="s">
        <v>31</v>
      </c>
      <c r="M211" s="3" t="s">
        <v>90</v>
      </c>
      <c r="N211" s="3" t="s">
        <v>33</v>
      </c>
      <c r="O211" s="4" t="n">
        <v>44528</v>
      </c>
      <c r="P211" s="3" t="n">
        <f aca="false">ROUND((About!$B$3-O211)/365.25,1)</f>
        <v>4.8</v>
      </c>
      <c r="Q211" s="3" t="str">
        <f aca="false">IF(O211&gt;About!$B$4,"Yes","No")</f>
        <v>No</v>
      </c>
      <c r="R211" s="3" t="s">
        <v>712</v>
      </c>
      <c r="S211" s="3" t="str">
        <f aca="false">IF(R211="","",INDEX($B$2:$B$231,MATCH(R211,$A$2:$A$231,0))&amp;" "&amp;INDEX($C$2:$C$231,MATCH(R211,$A$2:$A$231,0)))</f>
        <v>Tobias Pellegrini</v>
      </c>
      <c r="T211" s="3" t="s">
        <v>34</v>
      </c>
      <c r="U211" s="3" t="str">
        <f aca="false">H211&amp;" | "&amp;G211</f>
        <v>Legal Operations | Legal Ops - Staff</v>
      </c>
    </row>
    <row r="212" customFormat="false" ht="15" hidden="false" customHeight="true" outlineLevel="0" collapsed="false">
      <c r="A212" s="3" t="s">
        <v>730</v>
      </c>
      <c r="B212" s="3" t="s">
        <v>731</v>
      </c>
      <c r="C212" s="3" t="s">
        <v>249</v>
      </c>
      <c r="D212" s="3" t="s">
        <v>732</v>
      </c>
      <c r="E212" s="3" t="s">
        <v>724</v>
      </c>
      <c r="F212" s="3" t="s">
        <v>725</v>
      </c>
      <c r="G212" s="3" t="s">
        <v>726</v>
      </c>
      <c r="H212" s="3" t="s">
        <v>711</v>
      </c>
      <c r="I212" s="3" t="s">
        <v>711</v>
      </c>
      <c r="J212" s="3" t="s">
        <v>148</v>
      </c>
      <c r="K212" s="3" t="s">
        <v>30</v>
      </c>
      <c r="L212" s="3" t="s">
        <v>31</v>
      </c>
      <c r="M212" s="3" t="s">
        <v>90</v>
      </c>
      <c r="N212" s="3" t="s">
        <v>33</v>
      </c>
      <c r="O212" s="4" t="n">
        <v>44796</v>
      </c>
      <c r="P212" s="3" t="n">
        <f aca="false">ROUND((About!$B$3-O212)/365.25,1)</f>
        <v>4</v>
      </c>
      <c r="Q212" s="3" t="str">
        <f aca="false">IF(O212&gt;About!$B$4,"Yes","No")</f>
        <v>No</v>
      </c>
      <c r="R212" s="3" t="s">
        <v>712</v>
      </c>
      <c r="S212" s="3" t="str">
        <f aca="false">IF(R212="","",INDEX($B$2:$B$231,MATCH(R212,$A$2:$A$231,0))&amp;" "&amp;INDEX($C$2:$C$231,MATCH(R212,$A$2:$A$231,0)))</f>
        <v>Tobias Pellegrini</v>
      </c>
      <c r="T212" s="3" t="s">
        <v>34</v>
      </c>
      <c r="U212" s="3" t="str">
        <f aca="false">H212&amp;" | "&amp;G212</f>
        <v>Legal Operations | Legal Ops - Staff</v>
      </c>
    </row>
    <row r="213" customFormat="false" ht="15" hidden="false" customHeight="true" outlineLevel="0" collapsed="false">
      <c r="A213" s="3" t="s">
        <v>733</v>
      </c>
      <c r="B213" s="3" t="s">
        <v>279</v>
      </c>
      <c r="C213" s="3" t="s">
        <v>503</v>
      </c>
      <c r="D213" s="3" t="s">
        <v>734</v>
      </c>
      <c r="E213" s="3" t="s">
        <v>724</v>
      </c>
      <c r="F213" s="3" t="s">
        <v>725</v>
      </c>
      <c r="G213" s="3" t="s">
        <v>726</v>
      </c>
      <c r="H213" s="3" t="s">
        <v>711</v>
      </c>
      <c r="I213" s="3" t="s">
        <v>711</v>
      </c>
      <c r="J213" s="3" t="s">
        <v>29</v>
      </c>
      <c r="K213" s="3" t="s">
        <v>30</v>
      </c>
      <c r="L213" s="3" t="s">
        <v>31</v>
      </c>
      <c r="M213" s="3" t="s">
        <v>32</v>
      </c>
      <c r="N213" s="3" t="s">
        <v>33</v>
      </c>
      <c r="O213" s="4" t="n">
        <v>38459</v>
      </c>
      <c r="P213" s="3" t="n">
        <f aca="false">ROUND((About!$B$3-O213)/365.25,1)</f>
        <v>21.4</v>
      </c>
      <c r="Q213" s="3" t="str">
        <f aca="false">IF(O213&gt;About!$B$4,"Yes","No")</f>
        <v>No</v>
      </c>
      <c r="R213" s="3" t="s">
        <v>712</v>
      </c>
      <c r="S213" s="3" t="str">
        <f aca="false">IF(R213="","",INDEX($B$2:$B$231,MATCH(R213,$A$2:$A$231,0))&amp;" "&amp;INDEX($C$2:$C$231,MATCH(R213,$A$2:$A$231,0)))</f>
        <v>Tobias Pellegrini</v>
      </c>
      <c r="T213" s="3" t="s">
        <v>34</v>
      </c>
      <c r="U213" s="3" t="str">
        <f aca="false">H213&amp;" | "&amp;G213</f>
        <v>Legal Operations | Legal Ops - Staff</v>
      </c>
    </row>
    <row r="214" customFormat="false" ht="15" hidden="false" customHeight="true" outlineLevel="0" collapsed="false">
      <c r="A214" s="3" t="s">
        <v>735</v>
      </c>
      <c r="B214" s="3" t="s">
        <v>736</v>
      </c>
      <c r="C214" s="3" t="s">
        <v>667</v>
      </c>
      <c r="D214" s="3" t="s">
        <v>737</v>
      </c>
      <c r="E214" s="3" t="s">
        <v>724</v>
      </c>
      <c r="F214" s="3" t="s">
        <v>725</v>
      </c>
      <c r="G214" s="3" t="s">
        <v>726</v>
      </c>
      <c r="H214" s="3" t="s">
        <v>711</v>
      </c>
      <c r="I214" s="3" t="s">
        <v>711</v>
      </c>
      <c r="J214" s="3" t="s">
        <v>111</v>
      </c>
      <c r="K214" s="3" t="s">
        <v>30</v>
      </c>
      <c r="L214" s="3" t="s">
        <v>31</v>
      </c>
      <c r="M214" s="3" t="s">
        <v>90</v>
      </c>
      <c r="N214" s="3" t="s">
        <v>124</v>
      </c>
      <c r="O214" s="4" t="n">
        <v>46208</v>
      </c>
      <c r="P214" s="3" t="n">
        <f aca="false">ROUND((About!$B$3-O214)/365.25,1)</f>
        <v>0.2</v>
      </c>
      <c r="Q214" s="3" t="str">
        <f aca="false">IF(O214&gt;About!$B$4,"Yes","No")</f>
        <v>Yes</v>
      </c>
      <c r="R214" s="3" t="s">
        <v>712</v>
      </c>
      <c r="S214" s="3" t="str">
        <f aca="false">IF(R214="","",INDEX($B$2:$B$231,MATCH(R214,$A$2:$A$231,0))&amp;" "&amp;INDEX($C$2:$C$231,MATCH(R214,$A$2:$A$231,0)))</f>
        <v>Tobias Pellegrini</v>
      </c>
      <c r="T214" s="3" t="s">
        <v>34</v>
      </c>
      <c r="U214" s="3" t="str">
        <f aca="false">H214&amp;" | "&amp;G214</f>
        <v>Legal Operations | Legal Ops - Staff</v>
      </c>
    </row>
    <row r="215" customFormat="false" ht="15" hidden="false" customHeight="true" outlineLevel="0" collapsed="false">
      <c r="A215" s="3" t="s">
        <v>738</v>
      </c>
      <c r="B215" s="3" t="s">
        <v>476</v>
      </c>
      <c r="C215" s="3" t="s">
        <v>418</v>
      </c>
      <c r="D215" s="3" t="s">
        <v>739</v>
      </c>
      <c r="E215" s="3" t="s">
        <v>724</v>
      </c>
      <c r="F215" s="3" t="s">
        <v>725</v>
      </c>
      <c r="G215" s="3" t="s">
        <v>726</v>
      </c>
      <c r="H215" s="3" t="s">
        <v>711</v>
      </c>
      <c r="I215" s="3" t="s">
        <v>711</v>
      </c>
      <c r="J215" s="3" t="s">
        <v>29</v>
      </c>
      <c r="K215" s="3" t="s">
        <v>30</v>
      </c>
      <c r="L215" s="3" t="s">
        <v>31</v>
      </c>
      <c r="M215" s="3" t="s">
        <v>32</v>
      </c>
      <c r="N215" s="3" t="s">
        <v>42</v>
      </c>
      <c r="O215" s="4" t="n">
        <v>44456</v>
      </c>
      <c r="P215" s="3" t="n">
        <f aca="false">ROUND((About!$B$3-O215)/365.25,1)</f>
        <v>5</v>
      </c>
      <c r="Q215" s="3" t="str">
        <f aca="false">IF(O215&gt;About!$B$4,"Yes","No")</f>
        <v>No</v>
      </c>
      <c r="R215" s="3" t="s">
        <v>712</v>
      </c>
      <c r="S215" s="3" t="str">
        <f aca="false">IF(R215="","",INDEX($B$2:$B$231,MATCH(R215,$A$2:$A$231,0))&amp;" "&amp;INDEX($C$2:$C$231,MATCH(R215,$A$2:$A$231,0)))</f>
        <v>Tobias Pellegrini</v>
      </c>
      <c r="T215" s="3" t="s">
        <v>34</v>
      </c>
      <c r="U215" s="3" t="str">
        <f aca="false">H215&amp;" | "&amp;G215</f>
        <v>Legal Operations | Legal Ops - Staff</v>
      </c>
    </row>
    <row r="216" customFormat="false" ht="15" hidden="false" customHeight="true" outlineLevel="0" collapsed="false">
      <c r="A216" s="3" t="s">
        <v>740</v>
      </c>
      <c r="B216" s="3" t="s">
        <v>371</v>
      </c>
      <c r="C216" s="3" t="s">
        <v>714</v>
      </c>
      <c r="D216" s="3" t="s">
        <v>741</v>
      </c>
      <c r="E216" s="3" t="s">
        <v>742</v>
      </c>
      <c r="F216" s="3" t="s">
        <v>709</v>
      </c>
      <c r="G216" s="3" t="s">
        <v>710</v>
      </c>
      <c r="H216" s="3" t="s">
        <v>711</v>
      </c>
      <c r="I216" s="3" t="s">
        <v>743</v>
      </c>
      <c r="J216" s="3" t="s">
        <v>29</v>
      </c>
      <c r="K216" s="3" t="s">
        <v>30</v>
      </c>
      <c r="L216" s="3" t="s">
        <v>31</v>
      </c>
      <c r="M216" s="3" t="s">
        <v>32</v>
      </c>
      <c r="N216" s="3" t="s">
        <v>33</v>
      </c>
      <c r="O216" s="4" t="n">
        <v>39736</v>
      </c>
      <c r="P216" s="3" t="n">
        <f aca="false">ROUND((About!$B$3-O216)/365.25,1)</f>
        <v>17.9</v>
      </c>
      <c r="Q216" s="3" t="str">
        <f aca="false">IF(O216&gt;About!$B$4,"Yes","No")</f>
        <v>No</v>
      </c>
      <c r="R216" s="3" t="s">
        <v>706</v>
      </c>
      <c r="S216" s="3" t="str">
        <f aca="false">IF(R216="","",INDEX($B$2:$B$231,MATCH(R216,$A$2:$A$231,0))&amp;" "&amp;INDEX($C$2:$C$231,MATCH(R216,$A$2:$A$231,0)))</f>
        <v>Theo Sinclair</v>
      </c>
      <c r="T216" s="3" t="s">
        <v>744</v>
      </c>
      <c r="U216" s="3" t="str">
        <f aca="false">H216&amp;" | "&amp;G216</f>
        <v>Legal Operations | Legal Ops - Leadership</v>
      </c>
    </row>
    <row r="217" customFormat="false" ht="15" hidden="false" customHeight="true" outlineLevel="0" collapsed="false">
      <c r="A217" s="3" t="s">
        <v>745</v>
      </c>
      <c r="B217" s="3" t="s">
        <v>97</v>
      </c>
      <c r="C217" s="3" t="s">
        <v>93</v>
      </c>
      <c r="D217" s="3" t="s">
        <v>746</v>
      </c>
      <c r="E217" s="3" t="s">
        <v>747</v>
      </c>
      <c r="F217" s="3" t="s">
        <v>725</v>
      </c>
      <c r="G217" s="3" t="s">
        <v>726</v>
      </c>
      <c r="H217" s="3" t="s">
        <v>711</v>
      </c>
      <c r="I217" s="3" t="s">
        <v>743</v>
      </c>
      <c r="J217" s="3" t="s">
        <v>29</v>
      </c>
      <c r="K217" s="3" t="s">
        <v>30</v>
      </c>
      <c r="L217" s="3" t="s">
        <v>31</v>
      </c>
      <c r="M217" s="3" t="s">
        <v>32</v>
      </c>
      <c r="N217" s="3" t="s">
        <v>124</v>
      </c>
      <c r="O217" s="4" t="n">
        <v>43964</v>
      </c>
      <c r="P217" s="3" t="n">
        <f aca="false">ROUND((About!$B$3-O217)/365.25,1)</f>
        <v>6.3</v>
      </c>
      <c r="Q217" s="3" t="str">
        <f aca="false">IF(O217&gt;About!$B$4,"Yes","No")</f>
        <v>No</v>
      </c>
      <c r="R217" s="3" t="s">
        <v>740</v>
      </c>
      <c r="S217" s="3" t="str">
        <f aca="false">IF(R217="","",INDEX($B$2:$B$231,MATCH(R217,$A$2:$A$231,0))&amp;" "&amp;INDEX($C$2:$C$231,MATCH(R217,$A$2:$A$231,0)))</f>
        <v>Sofia Pellegrini</v>
      </c>
      <c r="T217" s="3" t="s">
        <v>744</v>
      </c>
      <c r="U217" s="3" t="str">
        <f aca="false">H217&amp;" | "&amp;G217</f>
        <v>Legal Operations | Legal Ops - Staff</v>
      </c>
    </row>
    <row r="218" customFormat="false" ht="15" hidden="false" customHeight="true" outlineLevel="0" collapsed="false">
      <c r="A218" s="3" t="s">
        <v>748</v>
      </c>
      <c r="B218" s="3" t="s">
        <v>749</v>
      </c>
      <c r="C218" s="3" t="s">
        <v>155</v>
      </c>
      <c r="D218" s="3" t="s">
        <v>750</v>
      </c>
      <c r="E218" s="3" t="s">
        <v>747</v>
      </c>
      <c r="F218" s="3" t="s">
        <v>725</v>
      </c>
      <c r="G218" s="3" t="s">
        <v>726</v>
      </c>
      <c r="H218" s="3" t="s">
        <v>711</v>
      </c>
      <c r="I218" s="3" t="s">
        <v>743</v>
      </c>
      <c r="J218" s="3" t="s">
        <v>29</v>
      </c>
      <c r="K218" s="3" t="s">
        <v>30</v>
      </c>
      <c r="L218" s="3" t="s">
        <v>31</v>
      </c>
      <c r="M218" s="3" t="s">
        <v>32</v>
      </c>
      <c r="N218" s="3" t="s">
        <v>33</v>
      </c>
      <c r="O218" s="4" t="n">
        <v>42001</v>
      </c>
      <c r="P218" s="3" t="n">
        <f aca="false">ROUND((About!$B$3-O218)/365.25,1)</f>
        <v>11.7</v>
      </c>
      <c r="Q218" s="3" t="str">
        <f aca="false">IF(O218&gt;About!$B$4,"Yes","No")</f>
        <v>No</v>
      </c>
      <c r="R218" s="3" t="s">
        <v>740</v>
      </c>
      <c r="S218" s="3" t="str">
        <f aca="false">IF(R218="","",INDEX($B$2:$B$231,MATCH(R218,$A$2:$A$231,0))&amp;" "&amp;INDEX($C$2:$C$231,MATCH(R218,$A$2:$A$231,0)))</f>
        <v>Sofia Pellegrini</v>
      </c>
      <c r="T218" s="3" t="s">
        <v>744</v>
      </c>
      <c r="U218" s="3" t="str">
        <f aca="false">H218&amp;" | "&amp;G218</f>
        <v>Legal Operations | Legal Ops - Staff</v>
      </c>
    </row>
    <row r="219" customFormat="false" ht="15" hidden="false" customHeight="true" outlineLevel="0" collapsed="false">
      <c r="A219" s="3" t="s">
        <v>751</v>
      </c>
      <c r="B219" s="3" t="s">
        <v>260</v>
      </c>
      <c r="C219" s="3" t="s">
        <v>127</v>
      </c>
      <c r="D219" s="3" t="s">
        <v>752</v>
      </c>
      <c r="E219" s="3" t="s">
        <v>753</v>
      </c>
      <c r="F219" s="3" t="s">
        <v>725</v>
      </c>
      <c r="G219" s="3" t="s">
        <v>726</v>
      </c>
      <c r="H219" s="3" t="s">
        <v>711</v>
      </c>
      <c r="I219" s="3" t="s">
        <v>743</v>
      </c>
      <c r="J219" s="3" t="s">
        <v>148</v>
      </c>
      <c r="K219" s="3" t="s">
        <v>30</v>
      </c>
      <c r="L219" s="3" t="s">
        <v>31</v>
      </c>
      <c r="M219" s="3" t="s">
        <v>90</v>
      </c>
      <c r="N219" s="3" t="s">
        <v>33</v>
      </c>
      <c r="O219" s="4" t="n">
        <v>44973</v>
      </c>
      <c r="P219" s="3" t="n">
        <f aca="false">ROUND((About!$B$3-O219)/365.25,1)</f>
        <v>3.6</v>
      </c>
      <c r="Q219" s="3" t="str">
        <f aca="false">IF(O219&gt;About!$B$4,"Yes","No")</f>
        <v>No</v>
      </c>
      <c r="R219" s="3" t="s">
        <v>740</v>
      </c>
      <c r="S219" s="3" t="str">
        <f aca="false">IF(R219="","",INDEX($B$2:$B$231,MATCH(R219,$A$2:$A$231,0))&amp;" "&amp;INDEX($C$2:$C$231,MATCH(R219,$A$2:$A$231,0)))</f>
        <v>Sofia Pellegrini</v>
      </c>
      <c r="T219" s="3" t="s">
        <v>34</v>
      </c>
      <c r="U219" s="3" t="str">
        <f aca="false">H219&amp;" | "&amp;G219</f>
        <v>Legal Operations | Legal Ops - Staff</v>
      </c>
    </row>
    <row r="220" customFormat="false" ht="15" hidden="false" customHeight="true" outlineLevel="0" collapsed="false">
      <c r="A220" s="3" t="s">
        <v>754</v>
      </c>
      <c r="B220" s="3" t="s">
        <v>755</v>
      </c>
      <c r="C220" s="3" t="s">
        <v>297</v>
      </c>
      <c r="D220" s="3" t="s">
        <v>756</v>
      </c>
      <c r="E220" s="3" t="s">
        <v>753</v>
      </c>
      <c r="F220" s="3" t="s">
        <v>725</v>
      </c>
      <c r="G220" s="3" t="s">
        <v>726</v>
      </c>
      <c r="H220" s="3" t="s">
        <v>711</v>
      </c>
      <c r="I220" s="3" t="s">
        <v>743</v>
      </c>
      <c r="J220" s="3" t="s">
        <v>29</v>
      </c>
      <c r="K220" s="3" t="s">
        <v>30</v>
      </c>
      <c r="L220" s="3" t="s">
        <v>31</v>
      </c>
      <c r="M220" s="3" t="s">
        <v>32</v>
      </c>
      <c r="N220" s="3" t="s">
        <v>33</v>
      </c>
      <c r="O220" s="4" t="n">
        <v>43933</v>
      </c>
      <c r="P220" s="3" t="n">
        <f aca="false">ROUND((About!$B$3-O220)/365.25,1)</f>
        <v>6.4</v>
      </c>
      <c r="Q220" s="3" t="str">
        <f aca="false">IF(O220&gt;About!$B$4,"Yes","No")</f>
        <v>No</v>
      </c>
      <c r="R220" s="3" t="s">
        <v>740</v>
      </c>
      <c r="S220" s="3" t="str">
        <f aca="false">IF(R220="","",INDEX($B$2:$B$231,MATCH(R220,$A$2:$A$231,0))&amp;" "&amp;INDEX($C$2:$C$231,MATCH(R220,$A$2:$A$231,0)))</f>
        <v>Sofia Pellegrini</v>
      </c>
      <c r="T220" s="3" t="s">
        <v>34</v>
      </c>
      <c r="U220" s="3" t="str">
        <f aca="false">H220&amp;" | "&amp;G220</f>
        <v>Legal Operations | Legal Ops - Staff</v>
      </c>
    </row>
    <row r="221" customFormat="false" ht="15" hidden="false" customHeight="true" outlineLevel="0" collapsed="false">
      <c r="A221" s="3" t="s">
        <v>757</v>
      </c>
      <c r="B221" s="3" t="s">
        <v>101</v>
      </c>
      <c r="C221" s="3" t="s">
        <v>512</v>
      </c>
      <c r="D221" s="3" t="s">
        <v>758</v>
      </c>
      <c r="E221" s="3" t="s">
        <v>753</v>
      </c>
      <c r="F221" s="3" t="s">
        <v>725</v>
      </c>
      <c r="G221" s="3" t="s">
        <v>726</v>
      </c>
      <c r="H221" s="3" t="s">
        <v>711</v>
      </c>
      <c r="I221" s="3" t="s">
        <v>743</v>
      </c>
      <c r="J221" s="3" t="s">
        <v>29</v>
      </c>
      <c r="K221" s="3" t="s">
        <v>30</v>
      </c>
      <c r="L221" s="3" t="s">
        <v>31</v>
      </c>
      <c r="M221" s="3" t="s">
        <v>32</v>
      </c>
      <c r="N221" s="3" t="s">
        <v>33</v>
      </c>
      <c r="O221" s="4" t="n">
        <v>46216</v>
      </c>
      <c r="P221" s="3" t="n">
        <f aca="false">ROUND((About!$B$3-O221)/365.25,1)</f>
        <v>0.2</v>
      </c>
      <c r="Q221" s="3" t="str">
        <f aca="false">IF(O221&gt;About!$B$4,"Yes","No")</f>
        <v>Yes</v>
      </c>
      <c r="R221" s="3" t="s">
        <v>740</v>
      </c>
      <c r="S221" s="3" t="str">
        <f aca="false">IF(R221="","",INDEX($B$2:$B$231,MATCH(R221,$A$2:$A$231,0))&amp;" "&amp;INDEX($C$2:$C$231,MATCH(R221,$A$2:$A$231,0)))</f>
        <v>Sofia Pellegrini</v>
      </c>
      <c r="T221" s="3" t="s">
        <v>34</v>
      </c>
      <c r="U221" s="3" t="str">
        <f aca="false">H221&amp;" | "&amp;G221</f>
        <v>Legal Operations | Legal Ops - Staff</v>
      </c>
    </row>
    <row r="222" customFormat="false" ht="15" hidden="false" customHeight="true" outlineLevel="0" collapsed="false">
      <c r="A222" s="3" t="s">
        <v>759</v>
      </c>
      <c r="B222" s="3" t="s">
        <v>223</v>
      </c>
      <c r="C222" s="3" t="s">
        <v>205</v>
      </c>
      <c r="D222" s="3" t="s">
        <v>760</v>
      </c>
      <c r="E222" s="3" t="s">
        <v>761</v>
      </c>
      <c r="F222" s="3" t="s">
        <v>709</v>
      </c>
      <c r="G222" s="3" t="s">
        <v>710</v>
      </c>
      <c r="H222" s="3" t="s">
        <v>711</v>
      </c>
      <c r="I222" s="3" t="s">
        <v>762</v>
      </c>
      <c r="J222" s="3" t="s">
        <v>29</v>
      </c>
      <c r="K222" s="3" t="s">
        <v>30</v>
      </c>
      <c r="L222" s="3" t="s">
        <v>31</v>
      </c>
      <c r="M222" s="3" t="s">
        <v>32</v>
      </c>
      <c r="N222" s="3" t="s">
        <v>124</v>
      </c>
      <c r="O222" s="4" t="n">
        <v>43674</v>
      </c>
      <c r="P222" s="3" t="n">
        <f aca="false">ROUND((About!$B$3-O222)/365.25,1)</f>
        <v>7.1</v>
      </c>
      <c r="Q222" s="3" t="str">
        <f aca="false">IF(O222&gt;About!$B$4,"Yes","No")</f>
        <v>No</v>
      </c>
      <c r="R222" s="3" t="s">
        <v>706</v>
      </c>
      <c r="S222" s="3" t="str">
        <f aca="false">IF(R222="","",INDEX($B$2:$B$231,MATCH(R222,$A$2:$A$231,0))&amp;" "&amp;INDEX($C$2:$C$231,MATCH(R222,$A$2:$A$231,0)))</f>
        <v>Theo Sinclair</v>
      </c>
      <c r="T222" s="3" t="s">
        <v>744</v>
      </c>
      <c r="U222" s="3" t="str">
        <f aca="false">H222&amp;" | "&amp;G222</f>
        <v>Legal Operations | Legal Ops - Leadership</v>
      </c>
    </row>
    <row r="223" customFormat="false" ht="15" hidden="false" customHeight="true" outlineLevel="0" collapsed="false">
      <c r="A223" s="3" t="s">
        <v>763</v>
      </c>
      <c r="B223" s="3" t="s">
        <v>319</v>
      </c>
      <c r="C223" s="3" t="s">
        <v>515</v>
      </c>
      <c r="D223" s="3" t="s">
        <v>764</v>
      </c>
      <c r="E223" s="3" t="s">
        <v>765</v>
      </c>
      <c r="F223" s="3" t="s">
        <v>725</v>
      </c>
      <c r="G223" s="3" t="s">
        <v>726</v>
      </c>
      <c r="H223" s="3" t="s">
        <v>711</v>
      </c>
      <c r="I223" s="3" t="s">
        <v>762</v>
      </c>
      <c r="J223" s="3" t="s">
        <v>111</v>
      </c>
      <c r="K223" s="3" t="s">
        <v>30</v>
      </c>
      <c r="L223" s="3" t="s">
        <v>31</v>
      </c>
      <c r="M223" s="3" t="s">
        <v>90</v>
      </c>
      <c r="N223" s="3" t="s">
        <v>33</v>
      </c>
      <c r="O223" s="4" t="n">
        <v>45971</v>
      </c>
      <c r="P223" s="3" t="n">
        <f aca="false">ROUND((About!$B$3-O223)/365.25,1)</f>
        <v>0.8</v>
      </c>
      <c r="Q223" s="3" t="str">
        <f aca="false">IF(O223&gt;About!$B$4,"Yes","No")</f>
        <v>Yes</v>
      </c>
      <c r="R223" s="3" t="s">
        <v>759</v>
      </c>
      <c r="S223" s="3" t="str">
        <f aca="false">IF(R223="","",INDEX($B$2:$B$231,MATCH(R223,$A$2:$A$231,0))&amp;" "&amp;INDEX($C$2:$C$231,MATCH(R223,$A$2:$A$231,0)))</f>
        <v>Marcus Larsson</v>
      </c>
      <c r="T223" s="3" t="s">
        <v>34</v>
      </c>
      <c r="U223" s="3" t="str">
        <f aca="false">H223&amp;" | "&amp;G223</f>
        <v>Legal Operations | Legal Ops - Staff</v>
      </c>
    </row>
    <row r="224" customFormat="false" ht="15" hidden="false" customHeight="true" outlineLevel="0" collapsed="false">
      <c r="A224" s="3" t="s">
        <v>766</v>
      </c>
      <c r="B224" s="3" t="s">
        <v>300</v>
      </c>
      <c r="C224" s="3" t="s">
        <v>397</v>
      </c>
      <c r="D224" s="3" t="s">
        <v>767</v>
      </c>
      <c r="E224" s="3" t="s">
        <v>765</v>
      </c>
      <c r="F224" s="3" t="s">
        <v>725</v>
      </c>
      <c r="G224" s="3" t="s">
        <v>726</v>
      </c>
      <c r="H224" s="3" t="s">
        <v>711</v>
      </c>
      <c r="I224" s="3" t="s">
        <v>762</v>
      </c>
      <c r="J224" s="3" t="s">
        <v>137</v>
      </c>
      <c r="K224" s="3" t="s">
        <v>30</v>
      </c>
      <c r="L224" s="3" t="s">
        <v>31</v>
      </c>
      <c r="M224" s="3" t="s">
        <v>90</v>
      </c>
      <c r="N224" s="3" t="s">
        <v>33</v>
      </c>
      <c r="O224" s="4" t="n">
        <v>45306</v>
      </c>
      <c r="P224" s="3" t="n">
        <f aca="false">ROUND((About!$B$3-O224)/365.25,1)</f>
        <v>2.7</v>
      </c>
      <c r="Q224" s="3" t="str">
        <f aca="false">IF(O224&gt;About!$B$4,"Yes","No")</f>
        <v>No</v>
      </c>
      <c r="R224" s="3" t="s">
        <v>759</v>
      </c>
      <c r="S224" s="3" t="str">
        <f aca="false">IF(R224="","",INDEX($B$2:$B$231,MATCH(R224,$A$2:$A$231,0))&amp;" "&amp;INDEX($C$2:$C$231,MATCH(R224,$A$2:$A$231,0)))</f>
        <v>Marcus Larsson</v>
      </c>
      <c r="T224" s="3" t="s">
        <v>34</v>
      </c>
      <c r="U224" s="3" t="str">
        <f aca="false">H224&amp;" | "&amp;G224</f>
        <v>Legal Operations | Legal Ops - Staff</v>
      </c>
    </row>
    <row r="225" customFormat="false" ht="15" hidden="false" customHeight="true" outlineLevel="0" collapsed="false">
      <c r="A225" s="3" t="s">
        <v>768</v>
      </c>
      <c r="B225" s="3" t="s">
        <v>231</v>
      </c>
      <c r="C225" s="3" t="s">
        <v>308</v>
      </c>
      <c r="D225" s="3" t="s">
        <v>769</v>
      </c>
      <c r="E225" s="3" t="s">
        <v>765</v>
      </c>
      <c r="F225" s="3" t="s">
        <v>725</v>
      </c>
      <c r="G225" s="3" t="s">
        <v>726</v>
      </c>
      <c r="H225" s="3" t="s">
        <v>711</v>
      </c>
      <c r="I225" s="3" t="s">
        <v>762</v>
      </c>
      <c r="J225" s="3" t="s">
        <v>29</v>
      </c>
      <c r="K225" s="3" t="s">
        <v>30</v>
      </c>
      <c r="L225" s="3" t="s">
        <v>31</v>
      </c>
      <c r="M225" s="3" t="s">
        <v>32</v>
      </c>
      <c r="N225" s="3" t="s">
        <v>42</v>
      </c>
      <c r="O225" s="4" t="n">
        <v>45369</v>
      </c>
      <c r="P225" s="3" t="n">
        <f aca="false">ROUND((About!$B$3-O225)/365.25,1)</f>
        <v>2.5</v>
      </c>
      <c r="Q225" s="3" t="str">
        <f aca="false">IF(O225&gt;About!$B$4,"Yes","No")</f>
        <v>No</v>
      </c>
      <c r="R225" s="3" t="s">
        <v>759</v>
      </c>
      <c r="S225" s="3" t="str">
        <f aca="false">IF(R225="","",INDEX($B$2:$B$231,MATCH(R225,$A$2:$A$231,0))&amp;" "&amp;INDEX($C$2:$C$231,MATCH(R225,$A$2:$A$231,0)))</f>
        <v>Marcus Larsson</v>
      </c>
      <c r="T225" s="3" t="s">
        <v>34</v>
      </c>
      <c r="U225" s="3" t="str">
        <f aca="false">H225&amp;" | "&amp;G225</f>
        <v>Legal Operations | Legal Ops - Staff</v>
      </c>
    </row>
    <row r="226" customFormat="false" ht="15" hidden="false" customHeight="true" outlineLevel="0" collapsed="false">
      <c r="A226" s="3" t="s">
        <v>770</v>
      </c>
      <c r="B226" s="3" t="s">
        <v>469</v>
      </c>
      <c r="C226" s="3" t="s">
        <v>454</v>
      </c>
      <c r="D226" s="3" t="s">
        <v>771</v>
      </c>
      <c r="E226" s="3" t="s">
        <v>765</v>
      </c>
      <c r="F226" s="3" t="s">
        <v>725</v>
      </c>
      <c r="G226" s="3" t="s">
        <v>726</v>
      </c>
      <c r="H226" s="3" t="s">
        <v>711</v>
      </c>
      <c r="I226" s="3" t="s">
        <v>762</v>
      </c>
      <c r="J226" s="3" t="s">
        <v>95</v>
      </c>
      <c r="K226" s="3" t="s">
        <v>30</v>
      </c>
      <c r="L226" s="3" t="s">
        <v>31</v>
      </c>
      <c r="M226" s="3" t="s">
        <v>90</v>
      </c>
      <c r="N226" s="3" t="s">
        <v>124</v>
      </c>
      <c r="O226" s="4" t="n">
        <v>44160</v>
      </c>
      <c r="P226" s="3" t="n">
        <f aca="false">ROUND((About!$B$3-O226)/365.25,1)</f>
        <v>5.8</v>
      </c>
      <c r="Q226" s="3" t="str">
        <f aca="false">IF(O226&gt;About!$B$4,"Yes","No")</f>
        <v>No</v>
      </c>
      <c r="R226" s="3" t="s">
        <v>759</v>
      </c>
      <c r="S226" s="3" t="str">
        <f aca="false">IF(R226="","",INDEX($B$2:$B$231,MATCH(R226,$A$2:$A$231,0))&amp;" "&amp;INDEX($C$2:$C$231,MATCH(R226,$A$2:$A$231,0)))</f>
        <v>Marcus Larsson</v>
      </c>
      <c r="T226" s="3" t="s">
        <v>34</v>
      </c>
      <c r="U226" s="3" t="str">
        <f aca="false">H226&amp;" | "&amp;G226</f>
        <v>Legal Operations | Legal Ops - Staff</v>
      </c>
    </row>
    <row r="227" customFormat="false" ht="15" hidden="false" customHeight="true" outlineLevel="0" collapsed="false">
      <c r="A227" s="3" t="s">
        <v>772</v>
      </c>
      <c r="B227" s="3" t="s">
        <v>773</v>
      </c>
      <c r="C227" s="3" t="s">
        <v>774</v>
      </c>
      <c r="D227" s="3" t="s">
        <v>775</v>
      </c>
      <c r="E227" s="3" t="s">
        <v>776</v>
      </c>
      <c r="F227" s="3" t="s">
        <v>725</v>
      </c>
      <c r="G227" s="3" t="s">
        <v>726</v>
      </c>
      <c r="H227" s="3" t="s">
        <v>711</v>
      </c>
      <c r="I227" s="3" t="s">
        <v>777</v>
      </c>
      <c r="J227" s="3" t="s">
        <v>29</v>
      </c>
      <c r="K227" s="3" t="s">
        <v>30</v>
      </c>
      <c r="L227" s="3" t="s">
        <v>31</v>
      </c>
      <c r="M227" s="3" t="s">
        <v>32</v>
      </c>
      <c r="N227" s="3" t="s">
        <v>33</v>
      </c>
      <c r="O227" s="4" t="n">
        <v>46170</v>
      </c>
      <c r="P227" s="3" t="n">
        <f aca="false">ROUND((About!$B$3-O227)/365.25,1)</f>
        <v>0.3</v>
      </c>
      <c r="Q227" s="3" t="str">
        <f aca="false">IF(O227&gt;About!$B$4,"Yes","No")</f>
        <v>Yes</v>
      </c>
      <c r="R227" s="3" t="s">
        <v>717</v>
      </c>
      <c r="S227" s="3" t="str">
        <f aca="false">IF(R227="","",INDEX($B$2:$B$231,MATCH(R227,$A$2:$A$231,0))&amp;" "&amp;INDEX($C$2:$C$231,MATCH(R227,$A$2:$A$231,0)))</f>
        <v>Leila Alvarado</v>
      </c>
      <c r="T227" s="3" t="s">
        <v>34</v>
      </c>
      <c r="U227" s="3" t="str">
        <f aca="false">H227&amp;" | "&amp;G227</f>
        <v>Legal Operations | Legal Ops - Staff</v>
      </c>
    </row>
    <row r="228" customFormat="false" ht="15" hidden="false" customHeight="true" outlineLevel="0" collapsed="false">
      <c r="A228" s="3" t="s">
        <v>778</v>
      </c>
      <c r="B228" s="3" t="s">
        <v>204</v>
      </c>
      <c r="C228" s="3" t="s">
        <v>350</v>
      </c>
      <c r="D228" s="3" t="s">
        <v>779</v>
      </c>
      <c r="E228" s="3" t="s">
        <v>776</v>
      </c>
      <c r="F228" s="3" t="s">
        <v>725</v>
      </c>
      <c r="G228" s="3" t="s">
        <v>726</v>
      </c>
      <c r="H228" s="3" t="s">
        <v>711</v>
      </c>
      <c r="I228" s="3" t="s">
        <v>777</v>
      </c>
      <c r="J228" s="3" t="s">
        <v>148</v>
      </c>
      <c r="K228" s="3" t="s">
        <v>30</v>
      </c>
      <c r="L228" s="3" t="s">
        <v>31</v>
      </c>
      <c r="M228" s="3" t="s">
        <v>90</v>
      </c>
      <c r="N228" s="3" t="s">
        <v>33</v>
      </c>
      <c r="O228" s="4" t="n">
        <v>39738</v>
      </c>
      <c r="P228" s="3" t="n">
        <f aca="false">ROUND((About!$B$3-O228)/365.25,1)</f>
        <v>17.9</v>
      </c>
      <c r="Q228" s="3" t="str">
        <f aca="false">IF(O228&gt;About!$B$4,"Yes","No")</f>
        <v>No</v>
      </c>
      <c r="R228" s="3" t="s">
        <v>717</v>
      </c>
      <c r="S228" s="3" t="str">
        <f aca="false">IF(R228="","",INDEX($B$2:$B$231,MATCH(R228,$A$2:$A$231,0))&amp;" "&amp;INDEX($C$2:$C$231,MATCH(R228,$A$2:$A$231,0)))</f>
        <v>Leila Alvarado</v>
      </c>
      <c r="T228" s="3" t="s">
        <v>34</v>
      </c>
      <c r="U228" s="3" t="str">
        <f aca="false">H228&amp;" | "&amp;G228</f>
        <v>Legal Operations | Legal Ops - Staff</v>
      </c>
    </row>
    <row r="229" customFormat="false" ht="15" hidden="false" customHeight="true" outlineLevel="0" collapsed="false">
      <c r="A229" s="3" t="s">
        <v>780</v>
      </c>
      <c r="B229" s="3" t="s">
        <v>781</v>
      </c>
      <c r="C229" s="3" t="s">
        <v>249</v>
      </c>
      <c r="D229" s="3" t="s">
        <v>782</v>
      </c>
      <c r="E229" s="3" t="s">
        <v>783</v>
      </c>
      <c r="F229" s="3" t="s">
        <v>725</v>
      </c>
      <c r="G229" s="3" t="s">
        <v>726</v>
      </c>
      <c r="H229" s="3" t="s">
        <v>711</v>
      </c>
      <c r="I229" s="3" t="s">
        <v>784</v>
      </c>
      <c r="J229" s="3" t="s">
        <v>29</v>
      </c>
      <c r="K229" s="3" t="s">
        <v>30</v>
      </c>
      <c r="L229" s="3" t="s">
        <v>31</v>
      </c>
      <c r="M229" s="3" t="s">
        <v>32</v>
      </c>
      <c r="N229" s="3" t="s">
        <v>33</v>
      </c>
      <c r="O229" s="4" t="n">
        <v>45925</v>
      </c>
      <c r="P229" s="3" t="n">
        <f aca="false">ROUND((About!$B$3-O229)/365.25,1)</f>
        <v>1</v>
      </c>
      <c r="Q229" s="3" t="str">
        <f aca="false">IF(O229&gt;About!$B$4,"Yes","No")</f>
        <v>Yes</v>
      </c>
      <c r="R229" s="3" t="s">
        <v>719</v>
      </c>
      <c r="S229" s="3" t="str">
        <f aca="false">IF(R229="","",INDEX($B$2:$B$231,MATCH(R229,$A$2:$A$231,0))&amp;" "&amp;INDEX($C$2:$C$231,MATCH(R229,$A$2:$A$231,0)))</f>
        <v>Bram Varga</v>
      </c>
      <c r="T229" s="3" t="s">
        <v>34</v>
      </c>
      <c r="U229" s="3" t="str">
        <f aca="false">H229&amp;" | "&amp;G229</f>
        <v>Legal Operations | Legal Ops - Staff</v>
      </c>
    </row>
    <row r="230" customFormat="false" ht="15" hidden="false" customHeight="true" outlineLevel="0" collapsed="false">
      <c r="A230" s="3" t="s">
        <v>785</v>
      </c>
      <c r="B230" s="3" t="s">
        <v>120</v>
      </c>
      <c r="C230" s="3" t="s">
        <v>559</v>
      </c>
      <c r="D230" s="3" t="s">
        <v>786</v>
      </c>
      <c r="E230" s="3" t="s">
        <v>787</v>
      </c>
      <c r="F230" s="3" t="s">
        <v>725</v>
      </c>
      <c r="G230" s="3" t="s">
        <v>726</v>
      </c>
      <c r="H230" s="3" t="s">
        <v>711</v>
      </c>
      <c r="I230" s="3" t="s">
        <v>788</v>
      </c>
      <c r="J230" s="3" t="s">
        <v>29</v>
      </c>
      <c r="K230" s="3" t="s">
        <v>30</v>
      </c>
      <c r="L230" s="3" t="s">
        <v>31</v>
      </c>
      <c r="M230" s="3" t="s">
        <v>32</v>
      </c>
      <c r="N230" s="3" t="s">
        <v>33</v>
      </c>
      <c r="O230" s="4" t="n">
        <v>45257</v>
      </c>
      <c r="P230" s="3" t="n">
        <f aca="false">ROUND((About!$B$3-O230)/365.25,1)</f>
        <v>2.8</v>
      </c>
      <c r="Q230" s="3" t="str">
        <f aca="false">IF(O230&gt;About!$B$4,"Yes","No")</f>
        <v>No</v>
      </c>
      <c r="R230" s="3" t="s">
        <v>719</v>
      </c>
      <c r="S230" s="3" t="str">
        <f aca="false">IF(R230="","",INDEX($B$2:$B$231,MATCH(R230,$A$2:$A$231,0))&amp;" "&amp;INDEX($C$2:$C$231,MATCH(R230,$A$2:$A$231,0)))</f>
        <v>Bram Varga</v>
      </c>
      <c r="T230" s="3" t="s">
        <v>34</v>
      </c>
      <c r="U230" s="3" t="str">
        <f aca="false">H230&amp;" | "&amp;G230</f>
        <v>Legal Operations | Legal Ops - Staff</v>
      </c>
    </row>
    <row r="231" customFormat="false" ht="15" hidden="false" customHeight="true" outlineLevel="0" collapsed="false">
      <c r="A231" s="3" t="s">
        <v>789</v>
      </c>
      <c r="B231" s="3" t="s">
        <v>644</v>
      </c>
      <c r="C231" s="3" t="s">
        <v>728</v>
      </c>
      <c r="D231" s="3" t="s">
        <v>790</v>
      </c>
      <c r="E231" s="3" t="s">
        <v>39</v>
      </c>
      <c r="F231" s="3" t="s">
        <v>40</v>
      </c>
      <c r="G231" s="3" t="s">
        <v>39</v>
      </c>
      <c r="H231" s="3" t="s">
        <v>711</v>
      </c>
      <c r="I231" s="3" t="s">
        <v>41</v>
      </c>
      <c r="J231" s="3" t="s">
        <v>29</v>
      </c>
      <c r="K231" s="3" t="s">
        <v>30</v>
      </c>
      <c r="L231" s="3" t="s">
        <v>31</v>
      </c>
      <c r="M231" s="3" t="s">
        <v>32</v>
      </c>
      <c r="N231" s="3" t="s">
        <v>33</v>
      </c>
      <c r="O231" s="4" t="n">
        <v>44869</v>
      </c>
      <c r="P231" s="3" t="n">
        <f aca="false">ROUND((About!$B$3-O231)/365.25,1)</f>
        <v>3.8</v>
      </c>
      <c r="Q231" s="3" t="str">
        <f aca="false">IF(O231&gt;About!$B$4,"Yes","No")</f>
        <v>No</v>
      </c>
      <c r="R231" s="3" t="s">
        <v>706</v>
      </c>
      <c r="S231" s="3" t="str">
        <f aca="false">IF(R231="","",INDEX($B$2:$B$231,MATCH(R231,$A$2:$A$231,0))&amp;" "&amp;INDEX($C$2:$C$231,MATCH(R231,$A$2:$A$231,0)))</f>
        <v>Theo Sinclair</v>
      </c>
      <c r="T231" s="3" t="s">
        <v>34</v>
      </c>
      <c r="U231" s="3" t="str">
        <f aca="false">H231&amp;" | "&amp;G231</f>
        <v>Legal Operations | Executive Assistant</v>
      </c>
    </row>
  </sheetData>
  <autoFilter ref="A1:U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46"/>
    <col collapsed="false" customWidth="true" hidden="false" outlineLevel="0" max="3" min="3" style="1" width="26"/>
    <col collapsed="false" customWidth="true" hidden="false" outlineLevel="0" max="5" min="4" style="1" width="60"/>
  </cols>
  <sheetData>
    <row r="1" customFormat="false" ht="30" hidden="false" customHeight="true" outlineLevel="0" collapsed="false">
      <c r="A1" s="2" t="s">
        <v>791</v>
      </c>
      <c r="B1" s="2" t="s">
        <v>792</v>
      </c>
      <c r="C1" s="2" t="s">
        <v>793</v>
      </c>
      <c r="D1" s="2" t="s">
        <v>794</v>
      </c>
      <c r="E1" s="2" t="s">
        <v>795</v>
      </c>
    </row>
    <row r="2" customFormat="false" ht="15" hidden="false" customHeight="true" outlineLevel="0" collapsed="false">
      <c r="A2" s="5" t="s">
        <v>28</v>
      </c>
      <c r="B2" s="5" t="n">
        <v>1</v>
      </c>
      <c r="C2" s="5" t="n">
        <f aca="false">COUNTIFS(Roster!$H:$H,A2,Roster!$F:$F,"L*")</f>
        <v>1</v>
      </c>
      <c r="D2" s="5" t="n">
        <f aca="false">COUNTIF(Roster!$H:$H,A2)</f>
        <v>3</v>
      </c>
      <c r="E2" s="5"/>
    </row>
    <row r="3" customFormat="false" ht="15" hidden="false" customHeight="true" outlineLevel="0" collapsed="false">
      <c r="A3" s="5" t="s">
        <v>53</v>
      </c>
      <c r="B3" s="5" t="n">
        <v>32</v>
      </c>
      <c r="C3" s="5" t="n">
        <f aca="false">COUNTIFS(Roster!$H:$H,A3,Roster!$F:$F,"L*")</f>
        <v>32</v>
      </c>
      <c r="D3" s="5" t="n">
        <f aca="false">COUNTIF(Roster!$H:$H,A3)</f>
        <v>53</v>
      </c>
      <c r="E3" s="5" t="s">
        <v>796</v>
      </c>
    </row>
    <row r="4" customFormat="false" ht="23.25" hidden="false" customHeight="true" outlineLevel="0" collapsed="false">
      <c r="A4" s="5" t="s">
        <v>275</v>
      </c>
      <c r="B4" s="5" t="n">
        <v>26</v>
      </c>
      <c r="C4" s="5" t="n">
        <f aca="false">COUNTIFS(Roster!$H:$H,A4,Roster!$F:$F,"L*")</f>
        <v>26</v>
      </c>
      <c r="D4" s="5" t="n">
        <f aca="false">COUNTIF(Roster!$H:$H,A4)</f>
        <v>49</v>
      </c>
      <c r="E4" s="5" t="s">
        <v>797</v>
      </c>
    </row>
    <row r="5" customFormat="false" ht="23.25" hidden="false" customHeight="true" outlineLevel="0" collapsed="false">
      <c r="A5" s="5" t="s">
        <v>424</v>
      </c>
      <c r="B5" s="5" t="n">
        <v>16</v>
      </c>
      <c r="C5" s="5" t="n">
        <f aca="false">COUNTIFS(Roster!$H:$H,A5,Roster!$F:$F,"L*")</f>
        <v>16</v>
      </c>
      <c r="D5" s="5" t="n">
        <f aca="false">COUNTIF(Roster!$H:$H,A5)</f>
        <v>23</v>
      </c>
      <c r="E5" s="5" t="s">
        <v>798</v>
      </c>
    </row>
    <row r="6" customFormat="false" ht="15" hidden="false" customHeight="true" outlineLevel="0" collapsed="false">
      <c r="A6" s="5" t="s">
        <v>498</v>
      </c>
      <c r="B6" s="5" t="n">
        <v>14</v>
      </c>
      <c r="C6" s="5" t="n">
        <f aca="false">COUNTIFS(Roster!$H:$H,A6,Roster!$F:$F,"L*")</f>
        <v>14</v>
      </c>
      <c r="D6" s="5" t="n">
        <f aca="false">COUNTIF(Roster!$H:$H,A6)</f>
        <v>18</v>
      </c>
      <c r="E6" s="5"/>
    </row>
    <row r="7" customFormat="false" ht="15" hidden="false" customHeight="true" outlineLevel="0" collapsed="false">
      <c r="A7" s="5" t="s">
        <v>551</v>
      </c>
      <c r="B7" s="5" t="n">
        <v>12</v>
      </c>
      <c r="C7" s="5" t="n">
        <f aca="false">COUNTIFS(Roster!$H:$H,A7,Roster!$F:$F,"L*")</f>
        <v>12</v>
      </c>
      <c r="D7" s="5" t="n">
        <f aca="false">COUNTIF(Roster!$H:$H,A7)</f>
        <v>16</v>
      </c>
      <c r="E7" s="5"/>
    </row>
    <row r="8" customFormat="false" ht="15" hidden="false" customHeight="true" outlineLevel="0" collapsed="false">
      <c r="A8" s="5" t="s">
        <v>594</v>
      </c>
      <c r="B8" s="5" t="n">
        <v>12</v>
      </c>
      <c r="C8" s="5" t="n">
        <f aca="false">COUNTIFS(Roster!$H:$H,A8,Roster!$F:$F,"L*")</f>
        <v>12</v>
      </c>
      <c r="D8" s="5" t="n">
        <f aca="false">COUNTIF(Roster!$H:$H,A8)</f>
        <v>13</v>
      </c>
      <c r="E8" s="5" t="s">
        <v>799</v>
      </c>
    </row>
    <row r="9" customFormat="false" ht="15" hidden="false" customHeight="true" outlineLevel="0" collapsed="false">
      <c r="A9" s="5" t="s">
        <v>634</v>
      </c>
      <c r="B9" s="5" t="n">
        <v>12</v>
      </c>
      <c r="C9" s="5" t="n">
        <f aca="false">COUNTIFS(Roster!$H:$H,A9,Roster!$F:$F,"L*")</f>
        <v>12</v>
      </c>
      <c r="D9" s="5" t="n">
        <f aca="false">COUNTIF(Roster!$H:$H,A9)</f>
        <v>16</v>
      </c>
      <c r="E9" s="5"/>
    </row>
    <row r="10" customFormat="false" ht="15" hidden="false" customHeight="true" outlineLevel="0" collapsed="false">
      <c r="A10" s="5" t="s">
        <v>675</v>
      </c>
      <c r="B10" s="5" t="n">
        <v>10</v>
      </c>
      <c r="C10" s="5" t="n">
        <f aca="false">COUNTIFS(Roster!$H:$H,A10,Roster!$F:$F,"L*")</f>
        <v>10</v>
      </c>
      <c r="D10" s="5" t="n">
        <f aca="false">COUNTIF(Roster!$H:$H,A10)</f>
        <v>13</v>
      </c>
      <c r="E10" s="5"/>
    </row>
    <row r="11" customFormat="false" ht="34.5" hidden="false" customHeight="true" outlineLevel="0" collapsed="false">
      <c r="A11" s="5" t="s">
        <v>711</v>
      </c>
      <c r="B11" s="5" t="n">
        <v>0</v>
      </c>
      <c r="C11" s="5" t="n">
        <f aca="false">COUNTIFS(Roster!$H:$H,A11,Roster!$F:$F,"L*")</f>
        <v>0</v>
      </c>
      <c r="D11" s="5" t="n">
        <f aca="false">COUNTIF(Roster!$H:$H,A11)</f>
        <v>26</v>
      </c>
      <c r="E11" s="5" t="s">
        <v>800</v>
      </c>
    </row>
    <row r="12" customFormat="false" ht="15" hidden="false" customHeight="true" outlineLevel="0" collapsed="false">
      <c r="A12" s="5"/>
      <c r="B12" s="5"/>
      <c r="C12" s="5"/>
      <c r="D12" s="5"/>
      <c r="E12" s="5"/>
    </row>
    <row r="13" customFormat="false" ht="30" hidden="false" customHeight="true" outlineLevel="0" collapsed="false">
      <c r="A13" s="2" t="s">
        <v>801</v>
      </c>
      <c r="B13" s="2" t="s">
        <v>802</v>
      </c>
      <c r="C13" s="2" t="s">
        <v>803</v>
      </c>
      <c r="D13" s="2" t="s">
        <v>804</v>
      </c>
      <c r="E13" s="2"/>
    </row>
    <row r="14" customFormat="false" ht="34.5" hidden="false" customHeight="true" outlineLevel="0" collapsed="false">
      <c r="A14" s="5" t="s">
        <v>26</v>
      </c>
      <c r="B14" s="5" t="s">
        <v>25</v>
      </c>
      <c r="C14" s="5" t="s">
        <v>27</v>
      </c>
      <c r="D14" s="5" t="s">
        <v>805</v>
      </c>
      <c r="E14" s="5"/>
    </row>
    <row r="15" customFormat="false" ht="34.5" hidden="false" customHeight="true" outlineLevel="0" collapsed="false">
      <c r="A15" s="5" t="s">
        <v>52</v>
      </c>
      <c r="B15" s="5" t="s">
        <v>806</v>
      </c>
      <c r="C15" s="5" t="s">
        <v>27</v>
      </c>
      <c r="D15" s="5"/>
      <c r="E15" s="5"/>
    </row>
    <row r="16" customFormat="false" ht="34.5" hidden="false" customHeight="true" outlineLevel="0" collapsed="false">
      <c r="A16" s="5" t="s">
        <v>117</v>
      </c>
      <c r="B16" s="5" t="s">
        <v>116</v>
      </c>
      <c r="C16" s="5" t="s">
        <v>118</v>
      </c>
      <c r="D16" s="5"/>
      <c r="E16" s="5"/>
    </row>
    <row r="17" customFormat="false" ht="34.5" hidden="false" customHeight="true" outlineLevel="0" collapsed="false">
      <c r="A17" s="5" t="s">
        <v>73</v>
      </c>
      <c r="B17" s="5" t="s">
        <v>72</v>
      </c>
      <c r="C17" s="5" t="s">
        <v>74</v>
      </c>
      <c r="D17" s="5"/>
      <c r="E17" s="5"/>
    </row>
    <row r="18" customFormat="false" ht="34.5" hidden="false" customHeight="true" outlineLevel="0" collapsed="false">
      <c r="A18" s="5" t="s">
        <v>59</v>
      </c>
      <c r="B18" s="5" t="s">
        <v>58</v>
      </c>
      <c r="C18" s="5" t="s">
        <v>60</v>
      </c>
      <c r="D18" s="5"/>
      <c r="E18" s="5"/>
    </row>
    <row r="19" customFormat="false" ht="34.5" hidden="false" customHeight="true" outlineLevel="0" collapsed="false">
      <c r="A19" s="5" t="s">
        <v>219</v>
      </c>
      <c r="B19" s="5" t="s">
        <v>807</v>
      </c>
      <c r="C19" s="5" t="s">
        <v>220</v>
      </c>
      <c r="D19" s="5"/>
      <c r="E19" s="5"/>
    </row>
    <row r="20" customFormat="false" ht="34.5" hidden="false" customHeight="true" outlineLevel="0" collapsed="false">
      <c r="A20" s="5" t="s">
        <v>195</v>
      </c>
      <c r="B20" s="5" t="s">
        <v>808</v>
      </c>
      <c r="C20" s="5" t="s">
        <v>196</v>
      </c>
      <c r="D20" s="5"/>
      <c r="E20" s="5"/>
    </row>
    <row r="21" customFormat="false" ht="34.5" hidden="false" customHeight="true" outlineLevel="0" collapsed="false">
      <c r="A21" s="5" t="s">
        <v>709</v>
      </c>
      <c r="B21" s="5" t="s">
        <v>809</v>
      </c>
      <c r="C21" s="5" t="s">
        <v>710</v>
      </c>
      <c r="D21" s="5"/>
      <c r="E21" s="5"/>
    </row>
    <row r="22" customFormat="false" ht="34.5" hidden="false" customHeight="true" outlineLevel="0" collapsed="false">
      <c r="A22" s="5" t="s">
        <v>725</v>
      </c>
      <c r="B22" s="5" t="s">
        <v>810</v>
      </c>
      <c r="C22" s="5" t="s">
        <v>726</v>
      </c>
      <c r="D22" s="5"/>
      <c r="E22" s="5"/>
    </row>
    <row r="23" customFormat="false" ht="34.5" hidden="false" customHeight="true" outlineLevel="0" collapsed="false">
      <c r="A23" s="5" t="s">
        <v>40</v>
      </c>
      <c r="B23" s="5" t="s">
        <v>39</v>
      </c>
      <c r="C23" s="5" t="s">
        <v>39</v>
      </c>
      <c r="D23" s="5"/>
      <c r="E23" s="5"/>
    </row>
    <row r="24" customFormat="false" ht="15" hidden="false" customHeight="true" outlineLevel="0" collapsed="false">
      <c r="A24" s="5"/>
      <c r="B24" s="5"/>
      <c r="C24" s="5"/>
      <c r="D24" s="5"/>
      <c r="E24" s="5"/>
    </row>
    <row r="25" customFormat="false" ht="30" hidden="false" customHeight="true" outlineLevel="0" collapsed="false">
      <c r="A25" s="2" t="s">
        <v>811</v>
      </c>
      <c r="B25" s="2" t="s">
        <v>812</v>
      </c>
      <c r="C25" s="2" t="s">
        <v>813</v>
      </c>
      <c r="D25" s="2" t="s">
        <v>814</v>
      </c>
      <c r="E25" s="2" t="s">
        <v>815</v>
      </c>
    </row>
    <row r="26" customFormat="false" ht="15" hidden="false" customHeight="true" outlineLevel="0" collapsed="false">
      <c r="A26" s="5" t="s">
        <v>29</v>
      </c>
      <c r="B26" s="5" t="s">
        <v>30</v>
      </c>
      <c r="C26" s="5" t="s">
        <v>31</v>
      </c>
      <c r="D26" s="5" t="s">
        <v>32</v>
      </c>
      <c r="E26" s="5" t="n">
        <f aca="false">COUNTIF(Roster!$J:$J,A26)</f>
        <v>131</v>
      </c>
    </row>
    <row r="27" customFormat="false" ht="15" hidden="false" customHeight="true" outlineLevel="0" collapsed="false">
      <c r="A27" s="5" t="s">
        <v>111</v>
      </c>
      <c r="B27" s="5" t="s">
        <v>30</v>
      </c>
      <c r="C27" s="5" t="s">
        <v>31</v>
      </c>
      <c r="D27" s="5" t="s">
        <v>90</v>
      </c>
      <c r="E27" s="5" t="n">
        <f aca="false">COUNTIF(Roster!$J:$J,A27)</f>
        <v>21</v>
      </c>
    </row>
    <row r="28" customFormat="false" ht="15" hidden="false" customHeight="true" outlineLevel="0" collapsed="false">
      <c r="A28" s="5" t="s">
        <v>95</v>
      </c>
      <c r="B28" s="5" t="s">
        <v>30</v>
      </c>
      <c r="C28" s="5" t="s">
        <v>31</v>
      </c>
      <c r="D28" s="5" t="s">
        <v>90</v>
      </c>
      <c r="E28" s="5" t="n">
        <f aca="false">COUNTIF(Roster!$J:$J,A28)</f>
        <v>13</v>
      </c>
    </row>
    <row r="29" customFormat="false" ht="15" hidden="false" customHeight="true" outlineLevel="0" collapsed="false">
      <c r="A29" s="5" t="s">
        <v>148</v>
      </c>
      <c r="B29" s="5" t="s">
        <v>30</v>
      </c>
      <c r="C29" s="5" t="s">
        <v>31</v>
      </c>
      <c r="D29" s="5" t="s">
        <v>90</v>
      </c>
      <c r="E29" s="5" t="n">
        <f aca="false">COUNTIF(Roster!$J:$J,A29)</f>
        <v>13</v>
      </c>
    </row>
    <row r="30" customFormat="false" ht="15" hidden="false" customHeight="true" outlineLevel="0" collapsed="false">
      <c r="A30" s="5" t="s">
        <v>123</v>
      </c>
      <c r="B30" s="5" t="s">
        <v>30</v>
      </c>
      <c r="C30" s="5" t="s">
        <v>31</v>
      </c>
      <c r="D30" s="5" t="s">
        <v>90</v>
      </c>
      <c r="E30" s="5" t="n">
        <f aca="false">COUNTIF(Roster!$J:$J,A30)</f>
        <v>15</v>
      </c>
    </row>
    <row r="31" customFormat="false" ht="15" hidden="false" customHeight="true" outlineLevel="0" collapsed="false">
      <c r="A31" s="5" t="s">
        <v>89</v>
      </c>
      <c r="B31" s="5" t="s">
        <v>30</v>
      </c>
      <c r="C31" s="5" t="s">
        <v>31</v>
      </c>
      <c r="D31" s="5" t="s">
        <v>90</v>
      </c>
      <c r="E31" s="5" t="n">
        <f aca="false">COUNTIF(Roster!$J:$J,A31)</f>
        <v>8</v>
      </c>
    </row>
    <row r="32" customFormat="false" ht="15" hidden="false" customHeight="true" outlineLevel="0" collapsed="false">
      <c r="A32" s="5" t="s">
        <v>137</v>
      </c>
      <c r="B32" s="5" t="s">
        <v>30</v>
      </c>
      <c r="C32" s="5" t="s">
        <v>31</v>
      </c>
      <c r="D32" s="5" t="s">
        <v>90</v>
      </c>
      <c r="E32" s="5" t="n">
        <f aca="false">COUNTIF(Roster!$J:$J,A32)</f>
        <v>4</v>
      </c>
    </row>
    <row r="33" customFormat="false" ht="15" hidden="false" customHeight="true" outlineLevel="0" collapsed="false">
      <c r="A33" s="5" t="s">
        <v>61</v>
      </c>
      <c r="B33" s="5" t="s">
        <v>62</v>
      </c>
      <c r="C33" s="5" t="s">
        <v>63</v>
      </c>
      <c r="D33" s="5" t="s">
        <v>64</v>
      </c>
      <c r="E33" s="5" t="n">
        <f aca="false">COUNTIF(Roster!$J:$J,A33)</f>
        <v>12</v>
      </c>
    </row>
    <row r="34" customFormat="false" ht="15" hidden="false" customHeight="true" outlineLevel="0" collapsed="false">
      <c r="A34" s="5" t="s">
        <v>485</v>
      </c>
      <c r="B34" s="5" t="s">
        <v>486</v>
      </c>
      <c r="C34" s="5" t="s">
        <v>63</v>
      </c>
      <c r="D34" s="5" t="s">
        <v>64</v>
      </c>
      <c r="E34" s="5" t="n">
        <f aca="false">COUNTIF(Roster!$J:$J,A34)</f>
        <v>5</v>
      </c>
    </row>
    <row r="35" customFormat="false" ht="15" hidden="false" customHeight="true" outlineLevel="0" collapsed="false">
      <c r="A35" s="5" t="s">
        <v>75</v>
      </c>
      <c r="B35" s="5" t="s">
        <v>75</v>
      </c>
      <c r="C35" s="5" t="s">
        <v>76</v>
      </c>
      <c r="D35" s="5" t="s">
        <v>64</v>
      </c>
      <c r="E35" s="5" t="n">
        <f aca="false">COUNTIF(Roster!$J:$J,A35)</f>
        <v>5</v>
      </c>
    </row>
    <row r="36" customFormat="false" ht="15" hidden="false" customHeight="true" outlineLevel="0" collapsed="false">
      <c r="A36" s="5" t="s">
        <v>437</v>
      </c>
      <c r="B36" s="5" t="s">
        <v>438</v>
      </c>
      <c r="C36" s="5" t="s">
        <v>439</v>
      </c>
      <c r="D36" s="5" t="s">
        <v>64</v>
      </c>
      <c r="E36" s="5" t="n">
        <f aca="false">COUNTIF(Roster!$J:$J,A36)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11" min="2" style="1" width="14"/>
  </cols>
  <sheetData>
    <row r="1" customFormat="false" ht="45" hidden="false" customHeight="true" outlineLevel="0" collapsed="false">
      <c r="A1" s="2" t="s">
        <v>816</v>
      </c>
      <c r="B1" s="2" t="s">
        <v>27</v>
      </c>
      <c r="C1" s="2" t="s">
        <v>118</v>
      </c>
      <c r="D1" s="2" t="s">
        <v>74</v>
      </c>
      <c r="E1" s="2" t="s">
        <v>60</v>
      </c>
      <c r="F1" s="2" t="s">
        <v>220</v>
      </c>
      <c r="G1" s="2" t="s">
        <v>196</v>
      </c>
      <c r="H1" s="2" t="s">
        <v>710</v>
      </c>
      <c r="I1" s="2" t="s">
        <v>726</v>
      </c>
      <c r="J1" s="2" t="s">
        <v>39</v>
      </c>
      <c r="K1" s="2" t="s">
        <v>817</v>
      </c>
    </row>
    <row r="2" customFormat="false" ht="15" hidden="false" customHeight="true" outlineLevel="0" collapsed="false">
      <c r="A2" s="1" t="s">
        <v>28</v>
      </c>
      <c r="B2" s="6" t="n">
        <f aca="false">COUNTIFS(Roster!$H:$H,$A2,Roster!$G:$G,B$1)</f>
        <v>1</v>
      </c>
      <c r="C2" s="6" t="n">
        <f aca="false">COUNTIFS(Roster!$H:$H,$A2,Roster!$G:$G,C$1)</f>
        <v>0</v>
      </c>
      <c r="D2" s="6" t="n">
        <f aca="false">COUNTIFS(Roster!$H:$H,$A2,Roster!$G:$G,D$1)</f>
        <v>0</v>
      </c>
      <c r="E2" s="6" t="n">
        <f aca="false">COUNTIFS(Roster!$H:$H,$A2,Roster!$G:$G,E$1)</f>
        <v>0</v>
      </c>
      <c r="F2" s="6" t="n">
        <f aca="false">COUNTIFS(Roster!$H:$H,$A2,Roster!$G:$G,F$1)</f>
        <v>0</v>
      </c>
      <c r="G2" s="6" t="n">
        <f aca="false">COUNTIFS(Roster!$H:$H,$A2,Roster!$G:$G,G$1)</f>
        <v>0</v>
      </c>
      <c r="H2" s="6" t="n">
        <f aca="false">COUNTIFS(Roster!$H:$H,$A2,Roster!$G:$G,H$1)</f>
        <v>0</v>
      </c>
      <c r="I2" s="6" t="n">
        <f aca="false">COUNTIFS(Roster!$H:$H,$A2,Roster!$G:$G,I$1)</f>
        <v>0</v>
      </c>
      <c r="J2" s="6" t="n">
        <f aca="false">COUNTIFS(Roster!$H:$H,$A2,Roster!$G:$G,J$1)</f>
        <v>2</v>
      </c>
      <c r="K2" s="6" t="n">
        <f aca="false">SUM(B2:J2)</f>
        <v>3</v>
      </c>
    </row>
    <row r="3" customFormat="false" ht="15" hidden="false" customHeight="true" outlineLevel="0" collapsed="false">
      <c r="A3" s="1" t="s">
        <v>53</v>
      </c>
      <c r="B3" s="6" t="n">
        <f aca="false">COUNTIFS(Roster!$H:$H,$A3,Roster!$G:$G,B$1)</f>
        <v>1</v>
      </c>
      <c r="C3" s="6" t="n">
        <f aca="false">COUNTIFS(Roster!$H:$H,$A3,Roster!$G:$G,C$1)</f>
        <v>7</v>
      </c>
      <c r="D3" s="6" t="n">
        <f aca="false">COUNTIFS(Roster!$H:$H,$A3,Roster!$G:$G,D$1)</f>
        <v>13</v>
      </c>
      <c r="E3" s="6" t="n">
        <f aca="false">COUNTIFS(Roster!$H:$H,$A3,Roster!$G:$G,E$1)</f>
        <v>11</v>
      </c>
      <c r="F3" s="6" t="n">
        <f aca="false">COUNTIFS(Roster!$H:$H,$A3,Roster!$G:$G,F$1)</f>
        <v>1</v>
      </c>
      <c r="G3" s="6" t="n">
        <f aca="false">COUNTIFS(Roster!$H:$H,$A3,Roster!$G:$G,G$1)</f>
        <v>17</v>
      </c>
      <c r="H3" s="6" t="n">
        <f aca="false">COUNTIFS(Roster!$H:$H,$A3,Roster!$G:$G,H$1)</f>
        <v>0</v>
      </c>
      <c r="I3" s="6" t="n">
        <f aca="false">COUNTIFS(Roster!$H:$H,$A3,Roster!$G:$G,I$1)</f>
        <v>0</v>
      </c>
      <c r="J3" s="6" t="n">
        <f aca="false">COUNTIFS(Roster!$H:$H,$A3,Roster!$G:$G,J$1)</f>
        <v>3</v>
      </c>
      <c r="K3" s="6" t="n">
        <f aca="false">SUM(B3:J3)</f>
        <v>53</v>
      </c>
    </row>
    <row r="4" customFormat="false" ht="15" hidden="false" customHeight="true" outlineLevel="0" collapsed="false">
      <c r="A4" s="1" t="s">
        <v>275</v>
      </c>
      <c r="B4" s="6" t="n">
        <f aca="false">COUNTIFS(Roster!$H:$H,$A4,Roster!$G:$G,B$1)</f>
        <v>1</v>
      </c>
      <c r="C4" s="6" t="n">
        <f aca="false">COUNTIFS(Roster!$H:$H,$A4,Roster!$G:$G,C$1)</f>
        <v>6</v>
      </c>
      <c r="D4" s="6" t="n">
        <f aca="false">COUNTIFS(Roster!$H:$H,$A4,Roster!$G:$G,D$1)</f>
        <v>10</v>
      </c>
      <c r="E4" s="6" t="n">
        <f aca="false">COUNTIFS(Roster!$H:$H,$A4,Roster!$G:$G,E$1)</f>
        <v>9</v>
      </c>
      <c r="F4" s="6" t="n">
        <f aca="false">COUNTIFS(Roster!$H:$H,$A4,Roster!$G:$G,F$1)</f>
        <v>1</v>
      </c>
      <c r="G4" s="6" t="n">
        <f aca="false">COUNTIFS(Roster!$H:$H,$A4,Roster!$G:$G,G$1)</f>
        <v>19</v>
      </c>
      <c r="H4" s="6" t="n">
        <f aca="false">COUNTIFS(Roster!$H:$H,$A4,Roster!$G:$G,H$1)</f>
        <v>0</v>
      </c>
      <c r="I4" s="6" t="n">
        <f aca="false">COUNTIFS(Roster!$H:$H,$A4,Roster!$G:$G,I$1)</f>
        <v>0</v>
      </c>
      <c r="J4" s="6" t="n">
        <f aca="false">COUNTIFS(Roster!$H:$H,$A4,Roster!$G:$G,J$1)</f>
        <v>3</v>
      </c>
      <c r="K4" s="6" t="n">
        <f aca="false">SUM(B4:J4)</f>
        <v>49</v>
      </c>
    </row>
    <row r="5" customFormat="false" ht="15" hidden="false" customHeight="true" outlineLevel="0" collapsed="false">
      <c r="A5" s="1" t="s">
        <v>424</v>
      </c>
      <c r="B5" s="6" t="n">
        <f aca="false">COUNTIFS(Roster!$H:$H,$A5,Roster!$G:$G,B$1)</f>
        <v>1</v>
      </c>
      <c r="C5" s="6" t="n">
        <f aca="false">COUNTIFS(Roster!$H:$H,$A5,Roster!$G:$G,C$1)</f>
        <v>3</v>
      </c>
      <c r="D5" s="6" t="n">
        <f aca="false">COUNTIFS(Roster!$H:$H,$A5,Roster!$G:$G,D$1)</f>
        <v>7</v>
      </c>
      <c r="E5" s="6" t="n">
        <f aca="false">COUNTIFS(Roster!$H:$H,$A5,Roster!$G:$G,E$1)</f>
        <v>5</v>
      </c>
      <c r="F5" s="6" t="n">
        <f aca="false">COUNTIFS(Roster!$H:$H,$A5,Roster!$G:$G,F$1)</f>
        <v>0</v>
      </c>
      <c r="G5" s="6" t="n">
        <f aca="false">COUNTIFS(Roster!$H:$H,$A5,Roster!$G:$G,G$1)</f>
        <v>6</v>
      </c>
      <c r="H5" s="6" t="n">
        <f aca="false">COUNTIFS(Roster!$H:$H,$A5,Roster!$G:$G,H$1)</f>
        <v>0</v>
      </c>
      <c r="I5" s="6" t="n">
        <f aca="false">COUNTIFS(Roster!$H:$H,$A5,Roster!$G:$G,I$1)</f>
        <v>0</v>
      </c>
      <c r="J5" s="6" t="n">
        <f aca="false">COUNTIFS(Roster!$H:$H,$A5,Roster!$G:$G,J$1)</f>
        <v>1</v>
      </c>
      <c r="K5" s="6" t="n">
        <f aca="false">SUM(B5:J5)</f>
        <v>23</v>
      </c>
    </row>
    <row r="6" customFormat="false" ht="15" hidden="false" customHeight="true" outlineLevel="0" collapsed="false">
      <c r="A6" s="1" t="s">
        <v>498</v>
      </c>
      <c r="B6" s="6" t="n">
        <f aca="false">COUNTIFS(Roster!$H:$H,$A6,Roster!$G:$G,B$1)</f>
        <v>1</v>
      </c>
      <c r="C6" s="6" t="n">
        <f aca="false">COUNTIFS(Roster!$H:$H,$A6,Roster!$G:$G,C$1)</f>
        <v>3</v>
      </c>
      <c r="D6" s="6" t="n">
        <f aca="false">COUNTIFS(Roster!$H:$H,$A6,Roster!$G:$G,D$1)</f>
        <v>5</v>
      </c>
      <c r="E6" s="6" t="n">
        <f aca="false">COUNTIFS(Roster!$H:$H,$A6,Roster!$G:$G,E$1)</f>
        <v>5</v>
      </c>
      <c r="F6" s="6" t="n">
        <f aca="false">COUNTIFS(Roster!$H:$H,$A6,Roster!$G:$G,F$1)</f>
        <v>0</v>
      </c>
      <c r="G6" s="6" t="n">
        <f aca="false">COUNTIFS(Roster!$H:$H,$A6,Roster!$G:$G,G$1)</f>
        <v>3</v>
      </c>
      <c r="H6" s="6" t="n">
        <f aca="false">COUNTIFS(Roster!$H:$H,$A6,Roster!$G:$G,H$1)</f>
        <v>0</v>
      </c>
      <c r="I6" s="6" t="n">
        <f aca="false">COUNTIFS(Roster!$H:$H,$A6,Roster!$G:$G,I$1)</f>
        <v>0</v>
      </c>
      <c r="J6" s="6" t="n">
        <f aca="false">COUNTIFS(Roster!$H:$H,$A6,Roster!$G:$G,J$1)</f>
        <v>1</v>
      </c>
      <c r="K6" s="6" t="n">
        <f aca="false">SUM(B6:J6)</f>
        <v>18</v>
      </c>
    </row>
    <row r="7" customFormat="false" ht="15" hidden="false" customHeight="true" outlineLevel="0" collapsed="false">
      <c r="A7" s="1" t="s">
        <v>551</v>
      </c>
      <c r="B7" s="6" t="n">
        <f aca="false">COUNTIFS(Roster!$H:$H,$A7,Roster!$G:$G,B$1)</f>
        <v>1</v>
      </c>
      <c r="C7" s="6" t="n">
        <f aca="false">COUNTIFS(Roster!$H:$H,$A7,Roster!$G:$G,C$1)</f>
        <v>2</v>
      </c>
      <c r="D7" s="6" t="n">
        <f aca="false">COUNTIFS(Roster!$H:$H,$A7,Roster!$G:$G,D$1)</f>
        <v>5</v>
      </c>
      <c r="E7" s="6" t="n">
        <f aca="false">COUNTIFS(Roster!$H:$H,$A7,Roster!$G:$G,E$1)</f>
        <v>4</v>
      </c>
      <c r="F7" s="6" t="n">
        <f aca="false">COUNTIFS(Roster!$H:$H,$A7,Roster!$G:$G,F$1)</f>
        <v>0</v>
      </c>
      <c r="G7" s="6" t="n">
        <f aca="false">COUNTIFS(Roster!$H:$H,$A7,Roster!$G:$G,G$1)</f>
        <v>3</v>
      </c>
      <c r="H7" s="6" t="n">
        <f aca="false">COUNTIFS(Roster!$H:$H,$A7,Roster!$G:$G,H$1)</f>
        <v>0</v>
      </c>
      <c r="I7" s="6" t="n">
        <f aca="false">COUNTIFS(Roster!$H:$H,$A7,Roster!$G:$G,I$1)</f>
        <v>0</v>
      </c>
      <c r="J7" s="6" t="n">
        <f aca="false">COUNTIFS(Roster!$H:$H,$A7,Roster!$G:$G,J$1)</f>
        <v>1</v>
      </c>
      <c r="K7" s="6" t="n">
        <f aca="false">SUM(B7:J7)</f>
        <v>16</v>
      </c>
    </row>
    <row r="8" customFormat="false" ht="15" hidden="false" customHeight="true" outlineLevel="0" collapsed="false">
      <c r="A8" s="1" t="s">
        <v>594</v>
      </c>
      <c r="B8" s="6" t="n">
        <f aca="false">COUNTIFS(Roster!$H:$H,$A8,Roster!$G:$G,B$1)</f>
        <v>1</v>
      </c>
      <c r="C8" s="6" t="n">
        <f aca="false">COUNTIFS(Roster!$H:$H,$A8,Roster!$G:$G,C$1)</f>
        <v>2</v>
      </c>
      <c r="D8" s="6" t="n">
        <f aca="false">COUNTIFS(Roster!$H:$H,$A8,Roster!$G:$G,D$1)</f>
        <v>5</v>
      </c>
      <c r="E8" s="6" t="n">
        <f aca="false">COUNTIFS(Roster!$H:$H,$A8,Roster!$G:$G,E$1)</f>
        <v>4</v>
      </c>
      <c r="F8" s="6" t="n">
        <f aca="false">COUNTIFS(Roster!$H:$H,$A8,Roster!$G:$G,F$1)</f>
        <v>0</v>
      </c>
      <c r="G8" s="6" t="n">
        <f aca="false">COUNTIFS(Roster!$H:$H,$A8,Roster!$G:$G,G$1)</f>
        <v>0</v>
      </c>
      <c r="H8" s="6" t="n">
        <f aca="false">COUNTIFS(Roster!$H:$H,$A8,Roster!$G:$G,H$1)</f>
        <v>0</v>
      </c>
      <c r="I8" s="6" t="n">
        <f aca="false">COUNTIFS(Roster!$H:$H,$A8,Roster!$G:$G,I$1)</f>
        <v>0</v>
      </c>
      <c r="J8" s="6" t="n">
        <f aca="false">COUNTIFS(Roster!$H:$H,$A8,Roster!$G:$G,J$1)</f>
        <v>1</v>
      </c>
      <c r="K8" s="6" t="n">
        <f aca="false">SUM(B8:J8)</f>
        <v>13</v>
      </c>
    </row>
    <row r="9" customFormat="false" ht="15" hidden="false" customHeight="true" outlineLevel="0" collapsed="false">
      <c r="A9" s="1" t="s">
        <v>634</v>
      </c>
      <c r="B9" s="6" t="n">
        <f aca="false">COUNTIFS(Roster!$H:$H,$A9,Roster!$G:$G,B$1)</f>
        <v>1</v>
      </c>
      <c r="C9" s="6" t="n">
        <f aca="false">COUNTIFS(Roster!$H:$H,$A9,Roster!$G:$G,C$1)</f>
        <v>2</v>
      </c>
      <c r="D9" s="6" t="n">
        <f aca="false">COUNTIFS(Roster!$H:$H,$A9,Roster!$G:$G,D$1)</f>
        <v>5</v>
      </c>
      <c r="E9" s="6" t="n">
        <f aca="false">COUNTIFS(Roster!$H:$H,$A9,Roster!$G:$G,E$1)</f>
        <v>4</v>
      </c>
      <c r="F9" s="6" t="n">
        <f aca="false">COUNTIFS(Roster!$H:$H,$A9,Roster!$G:$G,F$1)</f>
        <v>0</v>
      </c>
      <c r="G9" s="6" t="n">
        <f aca="false">COUNTIFS(Roster!$H:$H,$A9,Roster!$G:$G,G$1)</f>
        <v>3</v>
      </c>
      <c r="H9" s="6" t="n">
        <f aca="false">COUNTIFS(Roster!$H:$H,$A9,Roster!$G:$G,H$1)</f>
        <v>0</v>
      </c>
      <c r="I9" s="6" t="n">
        <f aca="false">COUNTIFS(Roster!$H:$H,$A9,Roster!$G:$G,I$1)</f>
        <v>0</v>
      </c>
      <c r="J9" s="6" t="n">
        <f aca="false">COUNTIFS(Roster!$H:$H,$A9,Roster!$G:$G,J$1)</f>
        <v>1</v>
      </c>
      <c r="K9" s="6" t="n">
        <f aca="false">SUM(B9:J9)</f>
        <v>16</v>
      </c>
    </row>
    <row r="10" customFormat="false" ht="15" hidden="false" customHeight="true" outlineLevel="0" collapsed="false">
      <c r="A10" s="1" t="s">
        <v>675</v>
      </c>
      <c r="B10" s="6" t="n">
        <f aca="false">COUNTIFS(Roster!$H:$H,$A10,Roster!$G:$G,B$1)</f>
        <v>1</v>
      </c>
      <c r="C10" s="6" t="n">
        <f aca="false">COUNTIFS(Roster!$H:$H,$A10,Roster!$G:$G,C$1)</f>
        <v>2</v>
      </c>
      <c r="D10" s="6" t="n">
        <f aca="false">COUNTIFS(Roster!$H:$H,$A10,Roster!$G:$G,D$1)</f>
        <v>4</v>
      </c>
      <c r="E10" s="6" t="n">
        <f aca="false">COUNTIFS(Roster!$H:$H,$A10,Roster!$G:$G,E$1)</f>
        <v>3</v>
      </c>
      <c r="F10" s="6" t="n">
        <f aca="false">COUNTIFS(Roster!$H:$H,$A10,Roster!$G:$G,F$1)</f>
        <v>0</v>
      </c>
      <c r="G10" s="6" t="n">
        <f aca="false">COUNTIFS(Roster!$H:$H,$A10,Roster!$G:$G,G$1)</f>
        <v>2</v>
      </c>
      <c r="H10" s="6" t="n">
        <f aca="false">COUNTIFS(Roster!$H:$H,$A10,Roster!$G:$G,H$1)</f>
        <v>0</v>
      </c>
      <c r="I10" s="6" t="n">
        <f aca="false">COUNTIFS(Roster!$H:$H,$A10,Roster!$G:$G,I$1)</f>
        <v>0</v>
      </c>
      <c r="J10" s="6" t="n">
        <f aca="false">COUNTIFS(Roster!$H:$H,$A10,Roster!$G:$G,J$1)</f>
        <v>1</v>
      </c>
      <c r="K10" s="6" t="n">
        <f aca="false">SUM(B10:J10)</f>
        <v>13</v>
      </c>
    </row>
    <row r="11" customFormat="false" ht="15" hidden="false" customHeight="true" outlineLevel="0" collapsed="false">
      <c r="A11" s="1" t="s">
        <v>711</v>
      </c>
      <c r="B11" s="6" t="n">
        <f aca="false">COUNTIFS(Roster!$H:$H,$A11,Roster!$G:$G,B$1)</f>
        <v>0</v>
      </c>
      <c r="C11" s="6" t="n">
        <f aca="false">COUNTIFS(Roster!$H:$H,$A11,Roster!$G:$G,C$1)</f>
        <v>0</v>
      </c>
      <c r="D11" s="6" t="n">
        <f aca="false">COUNTIFS(Roster!$H:$H,$A11,Roster!$G:$G,D$1)</f>
        <v>0</v>
      </c>
      <c r="E11" s="6" t="n">
        <f aca="false">COUNTIFS(Roster!$H:$H,$A11,Roster!$G:$G,E$1)</f>
        <v>0</v>
      </c>
      <c r="F11" s="6" t="n">
        <f aca="false">COUNTIFS(Roster!$H:$H,$A11,Roster!$G:$G,F$1)</f>
        <v>0</v>
      </c>
      <c r="G11" s="6" t="n">
        <f aca="false">COUNTIFS(Roster!$H:$H,$A11,Roster!$G:$G,G$1)</f>
        <v>0</v>
      </c>
      <c r="H11" s="6" t="n">
        <f aca="false">COUNTIFS(Roster!$H:$H,$A11,Roster!$G:$G,H$1)</f>
        <v>6</v>
      </c>
      <c r="I11" s="6" t="n">
        <f aca="false">COUNTIFS(Roster!$H:$H,$A11,Roster!$G:$G,I$1)</f>
        <v>19</v>
      </c>
      <c r="J11" s="6" t="n">
        <f aca="false">COUNTIFS(Roster!$H:$H,$A11,Roster!$G:$G,J$1)</f>
        <v>1</v>
      </c>
      <c r="K11" s="6" t="n">
        <f aca="false">SUM(B11:J11)</f>
        <v>26</v>
      </c>
    </row>
    <row r="12" customFormat="false" ht="15" hidden="false" customHeight="true" outlineLevel="0" collapsed="false">
      <c r="A12" s="7" t="s">
        <v>817</v>
      </c>
      <c r="B12" s="7" t="n">
        <f aca="false">SUM(B2:B11)</f>
        <v>9</v>
      </c>
      <c r="C12" s="7" t="n">
        <f aca="false">SUM(C2:C11)</f>
        <v>27</v>
      </c>
      <c r="D12" s="7" t="n">
        <f aca="false">SUM(D2:D11)</f>
        <v>54</v>
      </c>
      <c r="E12" s="7" t="n">
        <f aca="false">SUM(E2:E11)</f>
        <v>45</v>
      </c>
      <c r="F12" s="7" t="n">
        <f aca="false">SUM(F2:F11)</f>
        <v>2</v>
      </c>
      <c r="G12" s="7" t="n">
        <f aca="false">SUM(G2:G11)</f>
        <v>53</v>
      </c>
      <c r="H12" s="7" t="n">
        <f aca="false">SUM(H2:H11)</f>
        <v>6</v>
      </c>
      <c r="I12" s="7" t="n">
        <f aca="false">SUM(I2:I11)</f>
        <v>19</v>
      </c>
      <c r="J12" s="7" t="n">
        <f aca="false">SUM(J2:J11)</f>
        <v>15</v>
      </c>
      <c r="K12" s="7" t="n">
        <f aca="false">SUM(K2:K11)</f>
        <v>230</v>
      </c>
    </row>
    <row r="14" customFormat="false" ht="15" hidden="false" customHeight="true" outlineLevel="0" collapsed="false">
      <c r="A14" s="7" t="s">
        <v>818</v>
      </c>
    </row>
    <row r="15" customFormat="false" ht="15" hidden="false" customHeight="true" outlineLevel="0" collapsed="false">
      <c r="A15" s="6" t="s">
        <v>29</v>
      </c>
      <c r="B15" s="6" t="n">
        <f aca="false">COUNTIF(Roster!$J:$J,A15)</f>
        <v>131</v>
      </c>
    </row>
    <row r="16" customFormat="false" ht="15" hidden="false" customHeight="true" outlineLevel="0" collapsed="false">
      <c r="A16" s="6" t="s">
        <v>111</v>
      </c>
      <c r="B16" s="6" t="n">
        <f aca="false">COUNTIF(Roster!$J:$J,A16)</f>
        <v>21</v>
      </c>
    </row>
    <row r="17" customFormat="false" ht="15" hidden="false" customHeight="true" outlineLevel="0" collapsed="false">
      <c r="A17" s="6" t="s">
        <v>95</v>
      </c>
      <c r="B17" s="6" t="n">
        <f aca="false">COUNTIF(Roster!$J:$J,A17)</f>
        <v>13</v>
      </c>
    </row>
    <row r="18" customFormat="false" ht="15" hidden="false" customHeight="true" outlineLevel="0" collapsed="false">
      <c r="A18" s="6" t="s">
        <v>148</v>
      </c>
      <c r="B18" s="6" t="n">
        <f aca="false">COUNTIF(Roster!$J:$J,A18)</f>
        <v>13</v>
      </c>
    </row>
    <row r="19" customFormat="false" ht="15" hidden="false" customHeight="true" outlineLevel="0" collapsed="false">
      <c r="A19" s="6" t="s">
        <v>123</v>
      </c>
      <c r="B19" s="6" t="n">
        <f aca="false">COUNTIF(Roster!$J:$J,A19)</f>
        <v>15</v>
      </c>
    </row>
    <row r="20" customFormat="false" ht="15" hidden="false" customHeight="true" outlineLevel="0" collapsed="false">
      <c r="A20" s="6" t="s">
        <v>89</v>
      </c>
      <c r="B20" s="6" t="n">
        <f aca="false">COUNTIF(Roster!$J:$J,A20)</f>
        <v>8</v>
      </c>
    </row>
    <row r="21" customFormat="false" ht="15" hidden="false" customHeight="true" outlineLevel="0" collapsed="false">
      <c r="A21" s="6" t="s">
        <v>137</v>
      </c>
      <c r="B21" s="6" t="n">
        <f aca="false">COUNTIF(Roster!$J:$J,A21)</f>
        <v>4</v>
      </c>
    </row>
    <row r="22" customFormat="false" ht="15" hidden="false" customHeight="true" outlineLevel="0" collapsed="false">
      <c r="A22" s="6" t="s">
        <v>61</v>
      </c>
      <c r="B22" s="6" t="n">
        <f aca="false">COUNTIF(Roster!$J:$J,A22)</f>
        <v>12</v>
      </c>
    </row>
    <row r="23" customFormat="false" ht="15" hidden="false" customHeight="true" outlineLevel="0" collapsed="false">
      <c r="A23" s="6" t="s">
        <v>485</v>
      </c>
      <c r="B23" s="6" t="n">
        <f aca="false">COUNTIF(Roster!$J:$J,A23)</f>
        <v>5</v>
      </c>
    </row>
    <row r="24" customFormat="false" ht="15" hidden="false" customHeight="true" outlineLevel="0" collapsed="false">
      <c r="A24" s="6" t="s">
        <v>75</v>
      </c>
      <c r="B24" s="6" t="n">
        <f aca="false">COUNTIF(Roster!$J:$J,A24)</f>
        <v>5</v>
      </c>
    </row>
    <row r="25" customFormat="false" ht="15" hidden="false" customHeight="true" outlineLevel="0" collapsed="false">
      <c r="A25" s="6" t="s">
        <v>437</v>
      </c>
      <c r="B25" s="6" t="n">
        <f aca="false">COUNTIF(Roster!$J:$J,A25)</f>
        <v>3</v>
      </c>
    </row>
    <row r="26" customFormat="false" ht="15" hidden="false" customHeight="true" outlineLevel="0" collapsed="false">
      <c r="A26" s="7" t="s">
        <v>817</v>
      </c>
      <c r="B26" s="7" t="n">
        <f aca="false">SUM(B15:B25)</f>
        <v>230</v>
      </c>
    </row>
    <row r="28" customFormat="false" ht="15" hidden="false" customHeight="true" outlineLevel="0" collapsed="false">
      <c r="A28" s="7" t="s">
        <v>819</v>
      </c>
    </row>
    <row r="29" customFormat="false" ht="15" hidden="false" customHeight="true" outlineLevel="0" collapsed="false">
      <c r="A29" s="6" t="s">
        <v>820</v>
      </c>
      <c r="B29" s="6" t="n">
        <f aca="false">COUNTA(Roster!$A:$A)-1</f>
        <v>230</v>
      </c>
    </row>
    <row r="30" customFormat="false" ht="15" hidden="false" customHeight="true" outlineLevel="0" collapsed="false">
      <c r="A30" s="6" t="s">
        <v>821</v>
      </c>
      <c r="B30" s="6" t="n">
        <v>230</v>
      </c>
    </row>
    <row r="31" customFormat="false" ht="15" hidden="false" customHeight="true" outlineLevel="0" collapsed="false">
      <c r="A31" s="6" t="s">
        <v>822</v>
      </c>
      <c r="B31" s="6" t="n">
        <f aca="false">COUNTIF(Roster!$Q:$Q,"Yes")</f>
        <v>63</v>
      </c>
    </row>
    <row r="32" customFormat="false" ht="15" hidden="false" customHeight="true" outlineLevel="0" collapsed="false">
      <c r="A32" s="6" t="s">
        <v>823</v>
      </c>
      <c r="B32" s="8" t="n">
        <f aca="false">B31/B29</f>
        <v>0.273913043478261</v>
      </c>
    </row>
    <row r="33" customFormat="false" ht="15" hidden="false" customHeight="true" outlineLevel="0" collapsed="false">
      <c r="A33" s="6" t="s">
        <v>824</v>
      </c>
      <c r="B33" s="6" t="n">
        <f aca="false">COUNTIF(Roster!$L:$L,"EMEA")+COUNTIF(Roster!$L:$L,"APAC")+COUNTIF(Roster!$L:$L,"LATAM")</f>
        <v>25</v>
      </c>
    </row>
    <row r="34" customFormat="false" ht="15" hidden="false" customHeight="true" outlineLevel="0" collapsed="false">
      <c r="A34" s="6" t="s">
        <v>825</v>
      </c>
      <c r="B34" s="6" t="n">
        <f aca="false">COUNTIF(Roster!$T:$T,"Admin")</f>
        <v>4</v>
      </c>
    </row>
    <row r="35" customFormat="false" ht="15" hidden="false" customHeight="true" outlineLevel="0" collapsed="false">
      <c r="A35" s="6"/>
      <c r="B3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10"/>
  </cols>
  <sheetData>
    <row r="1" customFormat="false" ht="30" hidden="false" customHeight="true" outlineLevel="0" collapsed="false">
      <c r="A1" s="2" t="s">
        <v>826</v>
      </c>
      <c r="B1" s="2" t="s">
        <v>827</v>
      </c>
    </row>
    <row r="2" customFormat="false" ht="23.25" hidden="false" customHeight="true" outlineLevel="0" collapsed="false">
      <c r="A2" s="7" t="s">
        <v>828</v>
      </c>
      <c r="B2" s="5" t="s">
        <v>829</v>
      </c>
    </row>
    <row r="3" customFormat="false" ht="15" hidden="false" customHeight="true" outlineLevel="0" collapsed="false">
      <c r="A3" s="7" t="s">
        <v>830</v>
      </c>
      <c r="B3" s="9" t="n">
        <v>46274</v>
      </c>
    </row>
    <row r="4" customFormat="false" ht="15" hidden="false" customHeight="true" outlineLevel="0" collapsed="false">
      <c r="A4" s="7" t="s">
        <v>831</v>
      </c>
      <c r="B4" s="9" t="n">
        <v>45383</v>
      </c>
    </row>
    <row r="5" customFormat="false" ht="15" hidden="false" customHeight="true" outlineLevel="0" collapsed="false">
      <c r="A5" s="7" t="s">
        <v>832</v>
      </c>
      <c r="B5" s="9" t="n">
        <v>46446</v>
      </c>
    </row>
    <row r="6" customFormat="false" ht="15" hidden="false" customHeight="true" outlineLevel="0" collapsed="false">
      <c r="A6" s="7" t="s">
        <v>833</v>
      </c>
      <c r="B6" s="5" t="s">
        <v>834</v>
      </c>
    </row>
    <row r="7" customFormat="false" ht="15" hidden="false" customHeight="true" outlineLevel="0" collapsed="false">
      <c r="A7" s="7" t="s">
        <v>835</v>
      </c>
      <c r="B7" s="5" t="s">
        <v>836</v>
      </c>
    </row>
    <row r="8" customFormat="false" ht="15" hidden="false" customHeight="true" outlineLevel="0" collapsed="false">
      <c r="A8" s="7" t="s">
        <v>837</v>
      </c>
      <c r="B8" s="5" t="s">
        <v>838</v>
      </c>
    </row>
    <row r="9" customFormat="false" ht="23.25" hidden="false" customHeight="true" outlineLevel="0" collapsed="false">
      <c r="A9" s="7" t="s">
        <v>839</v>
      </c>
      <c r="B9" s="5" t="s">
        <v>840</v>
      </c>
    </row>
    <row r="10" customFormat="false" ht="34.5" hidden="false" customHeight="true" outlineLevel="0" collapsed="false">
      <c r="A10" s="7" t="s">
        <v>841</v>
      </c>
      <c r="B10" s="5" t="s">
        <v>842</v>
      </c>
    </row>
    <row r="11" customFormat="false" ht="23.25" hidden="false" customHeight="true" outlineLevel="0" collapsed="false">
      <c r="A11" s="7" t="s">
        <v>843</v>
      </c>
      <c r="B11" s="5" t="s">
        <v>844</v>
      </c>
    </row>
    <row r="12" customFormat="false" ht="23.25" hidden="false" customHeight="true" outlineLevel="0" collapsed="false">
      <c r="A12" s="7" t="s">
        <v>845</v>
      </c>
      <c r="B12" s="5" t="s">
        <v>846</v>
      </c>
    </row>
    <row r="13" customFormat="false" ht="15" hidden="false" customHeight="true" outlineLevel="0" collapsed="false">
      <c r="A13" s="7"/>
      <c r="B1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2026-09-07T16:18:42Z</dcterms:created>
  <dc:creator>Vandelay HRIS</dc:creator>
  <dc:description/>
  <dc:language>en-US</dc:language>
  <cp:lastModifiedBy/>
  <dcterms:modified xsi:type="dcterms:W3CDTF">2026-09-07T19:48:33Z</dcterms:modified>
  <cp:revision>0</cp:revision>
  <dc:subject/>
  <dc:title>Legal Department roster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